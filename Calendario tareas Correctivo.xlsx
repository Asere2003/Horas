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C:\Users\apgarcia\Documents\Horas correctivo\"/>
    </mc:Choice>
  </mc:AlternateContent>
  <bookViews>
    <workbookView xWindow="0" yWindow="0" windowWidth="2160" windowHeight="0" tabRatio="788" firstSheet="2" activeTab="8"/>
  </bookViews>
  <sheets>
    <sheet name="Enero" sheetId="14" r:id="rId1"/>
    <sheet name="Febrero" sheetId="15" r:id="rId2"/>
    <sheet name="Marzo" sheetId="16" r:id="rId3"/>
    <sheet name="Abril" sheetId="17" r:id="rId4"/>
    <sheet name="Mayo" sheetId="18" r:id="rId5"/>
    <sheet name="Junio" sheetId="19" r:id="rId6"/>
    <sheet name="Julio" sheetId="20" r:id="rId7"/>
    <sheet name="Agosto" sheetId="21" r:id="rId8"/>
    <sheet name="Septiembre" sheetId="22" r:id="rId9"/>
    <sheet name="Octubre" sheetId="23" r:id="rId10"/>
    <sheet name="Noviembre" sheetId="24" r:id="rId11"/>
    <sheet name="Diciembre" sheetId="25" r:id="rId12"/>
  </sheets>
  <definedNames>
    <definedName name="_xlnm.Print_Area" localSheetId="0">Enero!$A$1:$H$14</definedName>
    <definedName name="CalendarYear">Enero!$K$2</definedName>
    <definedName name="ColumnTitleRegion1..H12.1">Enero!$B$2</definedName>
    <definedName name="ColumnTitleRegion1..H12.10">Octubre!$B$2</definedName>
    <definedName name="ColumnTitleRegion1..H12.11">Noviembre!$B$2</definedName>
    <definedName name="ColumnTitleRegion1..H12.12">Diciembre!$B$2</definedName>
    <definedName name="ColumnTitleRegion1..H12.2">Febrero!$B$2</definedName>
    <definedName name="ColumnTitleRegion1..H12.3">Marzo!$B$2</definedName>
    <definedName name="ColumnTitleRegion1..H12.4">Abril!$B$2</definedName>
    <definedName name="ColumnTitleRegion1..H12.5">Mayo!$B$2</definedName>
    <definedName name="ColumnTitleRegion1..H12.6">Junio!$B$2</definedName>
    <definedName name="ColumnTitleRegion1..H12.7">Julio!$B$2</definedName>
    <definedName name="ColumnTitleRegion1..H12.8">Agosto!$B$2</definedName>
    <definedName name="ColumnTitleRegion1..H12.9">Septiembre!$B$2</definedName>
    <definedName name="ColumnTitleRegion2..C14.1">Enero!$B$2</definedName>
    <definedName name="ColumnTitleRegion2..C14.10">Octubre!$B$2</definedName>
    <definedName name="ColumnTitleRegion2..C14.11">Noviembre!$B$2</definedName>
    <definedName name="ColumnTitleRegion2..C14.12">Diciembre!$B$2</definedName>
    <definedName name="ColumnTitleRegion2..C14.2">Febrero!$B$2</definedName>
    <definedName name="ColumnTitleRegion2..C14.3">Marzo!$B$2</definedName>
    <definedName name="ColumnTitleRegion2..C14.4">Abril!$B$2</definedName>
    <definedName name="ColumnTitleRegion2..C14.5">Mayo!$B$2</definedName>
    <definedName name="ColumnTitleRegion2..C14.6">Junio!$B$2</definedName>
    <definedName name="ColumnTitleRegion2..C14.7">Julio!$B$2</definedName>
    <definedName name="ColumnTitleRegion2..C14.8">Agosto!$B$2</definedName>
    <definedName name="ColumnTitleRegion2..C14.9">Septiembre!$B$2</definedName>
    <definedName name="DaysAndWeeks">{0,1,2,3,4,5,6} + {0;1;2;3;4;5}*7</definedName>
    <definedName name="WeekStart">Enero!$K$3</definedName>
  </definedNames>
  <calcPr calcId="152511"/>
</workbook>
</file>

<file path=xl/calcChain.xml><?xml version="1.0" encoding="utf-8"?>
<calcChain xmlns="http://schemas.openxmlformats.org/spreadsheetml/2006/main">
  <c r="B2" i="25" l="1"/>
  <c r="B2" i="24"/>
  <c r="B2" i="23"/>
  <c r="B2" i="22"/>
  <c r="B2" i="21"/>
  <c r="B2" i="20"/>
  <c r="B2" i="19"/>
  <c r="B2" i="18"/>
  <c r="B2" i="17"/>
  <c r="B2" i="16"/>
  <c r="B2" i="15"/>
  <c r="K2" i="14" l="1"/>
  <c r="B1" i="14" l="1"/>
  <c r="B13" i="25" a="1"/>
  <c r="B11" i="25" a="1"/>
  <c r="B9" i="25" a="1"/>
  <c r="B7" i="25" a="1"/>
  <c r="B5" i="25" a="1"/>
  <c r="B3" i="25" a="1"/>
  <c r="B13" i="24" a="1"/>
  <c r="B11" i="24" a="1"/>
  <c r="B9" i="24" a="1"/>
  <c r="B7" i="24" a="1"/>
  <c r="B5" i="24" a="1"/>
  <c r="B3" i="24" a="1"/>
  <c r="B13" i="23" a="1"/>
  <c r="B11" i="23" a="1"/>
  <c r="B9" i="23" a="1"/>
  <c r="B7" i="23" a="1"/>
  <c r="B5" i="23" a="1"/>
  <c r="B3" i="23" a="1"/>
  <c r="B13" i="22" a="1"/>
  <c r="B11" i="22" a="1"/>
  <c r="B9" i="22" a="1"/>
  <c r="B7" i="22" a="1"/>
  <c r="B5" i="22" a="1"/>
  <c r="B3" i="22" a="1"/>
  <c r="B13" i="21" a="1"/>
  <c r="B11" i="21" a="1"/>
  <c r="B9" i="21" a="1"/>
  <c r="B7" i="21" a="1"/>
  <c r="B5" i="21" a="1"/>
  <c r="B3" i="21" a="1"/>
  <c r="B13" i="20" a="1"/>
  <c r="B11" i="20" a="1"/>
  <c r="B9" i="20" a="1"/>
  <c r="B7" i="20" a="1"/>
  <c r="B5" i="20" a="1"/>
  <c r="B3" i="20" a="1"/>
  <c r="B13" i="19" a="1"/>
  <c r="B11" i="19" a="1"/>
  <c r="B9" i="19" a="1"/>
  <c r="B7" i="19" a="1"/>
  <c r="B5" i="19" a="1"/>
  <c r="B3" i="19" a="1"/>
  <c r="B13" i="18" a="1"/>
  <c r="B11" i="18" a="1"/>
  <c r="B9" i="18" a="1"/>
  <c r="B7" i="18" a="1"/>
  <c r="B5" i="18" a="1"/>
  <c r="B3" i="18" a="1"/>
  <c r="B13" i="17" a="1"/>
  <c r="B11" i="17" a="1"/>
  <c r="B9" i="17" a="1"/>
  <c r="B7" i="17" a="1"/>
  <c r="B5" i="17" a="1"/>
  <c r="B3" i="17" a="1"/>
  <c r="B13" i="16" a="1"/>
  <c r="B11" i="16" a="1"/>
  <c r="B9" i="16" a="1"/>
  <c r="B7" i="16" a="1"/>
  <c r="B5" i="16" a="1"/>
  <c r="B3" i="16" a="1"/>
  <c r="B13" i="15" a="1"/>
  <c r="B11" i="15" a="1"/>
  <c r="B9" i="15" a="1"/>
  <c r="B7" i="15" a="1"/>
  <c r="B5" i="15" a="1"/>
  <c r="B3" i="15" a="1"/>
  <c r="B13" i="14" a="1"/>
  <c r="B11" i="14" a="1"/>
  <c r="B9" i="14" a="1"/>
  <c r="B7" i="14" a="1"/>
  <c r="B5" i="14" a="1"/>
  <c r="B3" i="14" a="1"/>
  <c r="B1" i="16"/>
  <c r="B1" i="15"/>
  <c r="B1" i="18"/>
  <c r="B1" i="17"/>
  <c r="B1" i="20"/>
  <c r="B1" i="19"/>
  <c r="B1" i="22"/>
  <c r="B1" i="21"/>
  <c r="B1" i="24"/>
  <c r="B1" i="23"/>
  <c r="B1" i="25"/>
  <c r="H3" i="14" l="1"/>
  <c r="G3" i="14"/>
  <c r="F3" i="14"/>
  <c r="E3" i="14"/>
  <c r="D3" i="14"/>
  <c r="C3" i="14"/>
  <c r="B3" i="14"/>
  <c r="H5" i="14"/>
  <c r="G5" i="14"/>
  <c r="F5" i="14"/>
  <c r="E5" i="14"/>
  <c r="D5" i="14"/>
  <c r="C5" i="14"/>
  <c r="B5" i="14"/>
  <c r="H7" i="14"/>
  <c r="G7" i="14"/>
  <c r="F7" i="14"/>
  <c r="E7" i="14"/>
  <c r="D7" i="14"/>
  <c r="C7" i="14"/>
  <c r="B7" i="14"/>
  <c r="H9" i="14"/>
  <c r="G9" i="14"/>
  <c r="F9" i="14"/>
  <c r="E9" i="14"/>
  <c r="D9" i="14"/>
  <c r="C9" i="14"/>
  <c r="B9" i="14"/>
  <c r="H11" i="14"/>
  <c r="G11" i="14"/>
  <c r="F11" i="14"/>
  <c r="E11" i="14"/>
  <c r="D11" i="14"/>
  <c r="C11" i="14"/>
  <c r="B11" i="14"/>
  <c r="C13" i="14"/>
  <c r="B13" i="14"/>
  <c r="H3" i="15"/>
  <c r="H2" i="15" s="1"/>
  <c r="G3" i="15"/>
  <c r="G2" i="15" s="1"/>
  <c r="F3" i="15"/>
  <c r="F2" i="15" s="1"/>
  <c r="E3" i="15"/>
  <c r="E2" i="15" s="1"/>
  <c r="D3" i="15"/>
  <c r="D2" i="15" s="1"/>
  <c r="C3" i="15"/>
  <c r="C2" i="15" s="1"/>
  <c r="B3" i="15"/>
  <c r="H5" i="15"/>
  <c r="G5" i="15"/>
  <c r="F5" i="15"/>
  <c r="E5" i="15"/>
  <c r="D5" i="15"/>
  <c r="C5" i="15"/>
  <c r="B5" i="15"/>
  <c r="H7" i="15"/>
  <c r="G7" i="15"/>
  <c r="F7" i="15"/>
  <c r="E7" i="15"/>
  <c r="D7" i="15"/>
  <c r="C7" i="15"/>
  <c r="B7" i="15"/>
  <c r="H9" i="15"/>
  <c r="G9" i="15"/>
  <c r="F9" i="15"/>
  <c r="E9" i="15"/>
  <c r="D9" i="15"/>
  <c r="C9" i="15"/>
  <c r="B9" i="15"/>
  <c r="H11" i="15"/>
  <c r="G11" i="15"/>
  <c r="F11" i="15"/>
  <c r="E11" i="15"/>
  <c r="D11" i="15"/>
  <c r="C11" i="15"/>
  <c r="B11" i="15"/>
  <c r="C13" i="15"/>
  <c r="B13" i="15"/>
  <c r="H3" i="16"/>
  <c r="H2" i="16" s="1"/>
  <c r="G3" i="16"/>
  <c r="G2" i="16" s="1"/>
  <c r="F3" i="16"/>
  <c r="F2" i="16" s="1"/>
  <c r="E3" i="16"/>
  <c r="E2" i="16" s="1"/>
  <c r="D3" i="16"/>
  <c r="D2" i="16" s="1"/>
  <c r="C3" i="16"/>
  <c r="C2" i="16" s="1"/>
  <c r="B3" i="16"/>
  <c r="H5" i="16"/>
  <c r="G5" i="16"/>
  <c r="F5" i="16"/>
  <c r="E5" i="16"/>
  <c r="D5" i="16"/>
  <c r="C5" i="16"/>
  <c r="B5" i="16"/>
  <c r="H7" i="16"/>
  <c r="G7" i="16"/>
  <c r="F7" i="16"/>
  <c r="E7" i="16"/>
  <c r="D7" i="16"/>
  <c r="C7" i="16"/>
  <c r="B7" i="16"/>
  <c r="H9" i="16"/>
  <c r="G9" i="16"/>
  <c r="F9" i="16"/>
  <c r="E9" i="16"/>
  <c r="D9" i="16"/>
  <c r="C9" i="16"/>
  <c r="B9" i="16"/>
  <c r="H11" i="16"/>
  <c r="G11" i="16"/>
  <c r="F11" i="16"/>
  <c r="E11" i="16"/>
  <c r="D11" i="16"/>
  <c r="C11" i="16"/>
  <c r="B11" i="16"/>
  <c r="C13" i="16"/>
  <c r="B13" i="16"/>
  <c r="H3" i="17"/>
  <c r="H2" i="17" s="1"/>
  <c r="G3" i="17"/>
  <c r="G2" i="17" s="1"/>
  <c r="F3" i="17"/>
  <c r="F2" i="17" s="1"/>
  <c r="E3" i="17"/>
  <c r="E2" i="17" s="1"/>
  <c r="D3" i="17"/>
  <c r="D2" i="17" s="1"/>
  <c r="C3" i="17"/>
  <c r="C2" i="17" s="1"/>
  <c r="B3" i="17"/>
  <c r="H5" i="17"/>
  <c r="G5" i="17"/>
  <c r="F5" i="17"/>
  <c r="E5" i="17"/>
  <c r="D5" i="17"/>
  <c r="C5" i="17"/>
  <c r="B5" i="17"/>
  <c r="H7" i="17"/>
  <c r="G7" i="17"/>
  <c r="F7" i="17"/>
  <c r="E7" i="17"/>
  <c r="D7" i="17"/>
  <c r="C7" i="17"/>
  <c r="B7" i="17"/>
  <c r="H9" i="17"/>
  <c r="G9" i="17"/>
  <c r="F9" i="17"/>
  <c r="E9" i="17"/>
  <c r="D9" i="17"/>
  <c r="C9" i="17"/>
  <c r="B9" i="17"/>
  <c r="H11" i="17"/>
  <c r="G11" i="17"/>
  <c r="F11" i="17"/>
  <c r="E11" i="17"/>
  <c r="D11" i="17"/>
  <c r="C11" i="17"/>
  <c r="B11" i="17"/>
  <c r="C13" i="17"/>
  <c r="B13" i="17"/>
  <c r="H3" i="18"/>
  <c r="H2" i="18" s="1"/>
  <c r="G3" i="18"/>
  <c r="G2" i="18" s="1"/>
  <c r="F3" i="18"/>
  <c r="F2" i="18" s="1"/>
  <c r="E3" i="18"/>
  <c r="E2" i="18" s="1"/>
  <c r="D3" i="18"/>
  <c r="D2" i="18" s="1"/>
  <c r="C3" i="18"/>
  <c r="C2" i="18" s="1"/>
  <c r="B3" i="18"/>
  <c r="H5" i="18"/>
  <c r="G5" i="18"/>
  <c r="F5" i="18"/>
  <c r="E5" i="18"/>
  <c r="D5" i="18"/>
  <c r="C5" i="18"/>
  <c r="B5" i="18"/>
  <c r="H7" i="18"/>
  <c r="G7" i="18"/>
  <c r="F7" i="18"/>
  <c r="E7" i="18"/>
  <c r="D7" i="18"/>
  <c r="C7" i="18"/>
  <c r="B7" i="18"/>
  <c r="H9" i="18"/>
  <c r="G9" i="18"/>
  <c r="F9" i="18"/>
  <c r="E9" i="18"/>
  <c r="D9" i="18"/>
  <c r="C9" i="18"/>
  <c r="B9" i="18"/>
  <c r="H11" i="18"/>
  <c r="G11" i="18"/>
  <c r="F11" i="18"/>
  <c r="E11" i="18"/>
  <c r="D11" i="18"/>
  <c r="C11" i="18"/>
  <c r="B11" i="18"/>
  <c r="C13" i="18"/>
  <c r="B13" i="18"/>
  <c r="H3" i="19"/>
  <c r="H2" i="19" s="1"/>
  <c r="G3" i="19"/>
  <c r="G2" i="19" s="1"/>
  <c r="F3" i="19"/>
  <c r="F2" i="19" s="1"/>
  <c r="E3" i="19"/>
  <c r="E2" i="19" s="1"/>
  <c r="D3" i="19"/>
  <c r="D2" i="19" s="1"/>
  <c r="C3" i="19"/>
  <c r="C2" i="19" s="1"/>
  <c r="B3" i="19"/>
  <c r="H5" i="19"/>
  <c r="G5" i="19"/>
  <c r="F5" i="19"/>
  <c r="E5" i="19"/>
  <c r="D5" i="19"/>
  <c r="C5" i="19"/>
  <c r="B5" i="19"/>
  <c r="H7" i="19"/>
  <c r="G7" i="19"/>
  <c r="F7" i="19"/>
  <c r="E7" i="19"/>
  <c r="D7" i="19"/>
  <c r="C7" i="19"/>
  <c r="B7" i="19"/>
  <c r="H9" i="19"/>
  <c r="G9" i="19"/>
  <c r="F9" i="19"/>
  <c r="E9" i="19"/>
  <c r="D9" i="19"/>
  <c r="C9" i="19"/>
  <c r="B9" i="19"/>
  <c r="H11" i="19"/>
  <c r="G11" i="19"/>
  <c r="F11" i="19"/>
  <c r="E11" i="19"/>
  <c r="D11" i="19"/>
  <c r="C11" i="19"/>
  <c r="B11" i="19"/>
  <c r="C13" i="19"/>
  <c r="B13" i="19"/>
  <c r="H3" i="20"/>
  <c r="H2" i="20" s="1"/>
  <c r="G3" i="20"/>
  <c r="G2" i="20" s="1"/>
  <c r="F3" i="20"/>
  <c r="F2" i="20" s="1"/>
  <c r="E3" i="20"/>
  <c r="E2" i="20" s="1"/>
  <c r="D3" i="20"/>
  <c r="D2" i="20" s="1"/>
  <c r="C3" i="20"/>
  <c r="C2" i="20" s="1"/>
  <c r="B3" i="20"/>
  <c r="H5" i="20"/>
  <c r="G5" i="20"/>
  <c r="F5" i="20"/>
  <c r="E5" i="20"/>
  <c r="D5" i="20"/>
  <c r="C5" i="20"/>
  <c r="B5" i="20"/>
  <c r="H7" i="20"/>
  <c r="G7" i="20"/>
  <c r="F7" i="20"/>
  <c r="E7" i="20"/>
  <c r="D7" i="20"/>
  <c r="C7" i="20"/>
  <c r="B7" i="20"/>
  <c r="H9" i="20"/>
  <c r="G9" i="20"/>
  <c r="F9" i="20"/>
  <c r="E9" i="20"/>
  <c r="D9" i="20"/>
  <c r="C9" i="20"/>
  <c r="B9" i="20"/>
  <c r="H11" i="20"/>
  <c r="G11" i="20"/>
  <c r="F11" i="20"/>
  <c r="E11" i="20"/>
  <c r="D11" i="20"/>
  <c r="C11" i="20"/>
  <c r="B11" i="20"/>
  <c r="C13" i="20"/>
  <c r="B13" i="20"/>
  <c r="H3" i="21"/>
  <c r="H2" i="21" s="1"/>
  <c r="G3" i="21"/>
  <c r="G2" i="21" s="1"/>
  <c r="F3" i="21"/>
  <c r="F2" i="21" s="1"/>
  <c r="E3" i="21"/>
  <c r="E2" i="21" s="1"/>
  <c r="D3" i="21"/>
  <c r="D2" i="21" s="1"/>
  <c r="C3" i="21"/>
  <c r="C2" i="21" s="1"/>
  <c r="B3" i="21"/>
  <c r="H5" i="21"/>
  <c r="G5" i="21"/>
  <c r="F5" i="21"/>
  <c r="E5" i="21"/>
  <c r="D5" i="21"/>
  <c r="C5" i="21"/>
  <c r="B5" i="21"/>
  <c r="H7" i="21"/>
  <c r="G7" i="21"/>
  <c r="F7" i="21"/>
  <c r="E7" i="21"/>
  <c r="D7" i="21"/>
  <c r="C7" i="21"/>
  <c r="B7" i="21"/>
  <c r="H9" i="21"/>
  <c r="G9" i="21"/>
  <c r="F9" i="21"/>
  <c r="E9" i="21"/>
  <c r="D9" i="21"/>
  <c r="C9" i="21"/>
  <c r="B9" i="21"/>
  <c r="H11" i="21"/>
  <c r="G11" i="21"/>
  <c r="F11" i="21"/>
  <c r="E11" i="21"/>
  <c r="D11" i="21"/>
  <c r="C11" i="21"/>
  <c r="B11" i="21"/>
  <c r="C13" i="21"/>
  <c r="B13" i="21"/>
  <c r="H3" i="22"/>
  <c r="H2" i="22" s="1"/>
  <c r="G3" i="22"/>
  <c r="G2" i="22" s="1"/>
  <c r="F3" i="22"/>
  <c r="F2" i="22" s="1"/>
  <c r="E3" i="22"/>
  <c r="E2" i="22" s="1"/>
  <c r="D3" i="22"/>
  <c r="D2" i="22" s="1"/>
  <c r="C3" i="22"/>
  <c r="C2" i="22" s="1"/>
  <c r="B3" i="22"/>
  <c r="H5" i="22"/>
  <c r="G5" i="22"/>
  <c r="F5" i="22"/>
  <c r="E5" i="22"/>
  <c r="D5" i="22"/>
  <c r="C5" i="22"/>
  <c r="B5" i="22"/>
  <c r="H7" i="22"/>
  <c r="G7" i="22"/>
  <c r="F7" i="22"/>
  <c r="E7" i="22"/>
  <c r="D7" i="22"/>
  <c r="C7" i="22"/>
  <c r="B7" i="22"/>
  <c r="H9" i="22"/>
  <c r="G9" i="22"/>
  <c r="F9" i="22"/>
  <c r="E9" i="22"/>
  <c r="D9" i="22"/>
  <c r="C9" i="22"/>
  <c r="B9" i="22"/>
  <c r="H11" i="22"/>
  <c r="G11" i="22"/>
  <c r="F11" i="22"/>
  <c r="E11" i="22"/>
  <c r="D11" i="22"/>
  <c r="C11" i="22"/>
  <c r="B11" i="22"/>
  <c r="C13" i="22"/>
  <c r="B13" i="22"/>
  <c r="H3" i="23"/>
  <c r="H2" i="23" s="1"/>
  <c r="G3" i="23"/>
  <c r="G2" i="23" s="1"/>
  <c r="F3" i="23"/>
  <c r="F2" i="23" s="1"/>
  <c r="E3" i="23"/>
  <c r="E2" i="23" s="1"/>
  <c r="D3" i="23"/>
  <c r="D2" i="23" s="1"/>
  <c r="C3" i="23"/>
  <c r="C2" i="23" s="1"/>
  <c r="B3" i="23"/>
  <c r="H5" i="23"/>
  <c r="G5" i="23"/>
  <c r="F5" i="23"/>
  <c r="E5" i="23"/>
  <c r="D5" i="23"/>
  <c r="C5" i="23"/>
  <c r="B5" i="23"/>
  <c r="H7" i="23"/>
  <c r="G7" i="23"/>
  <c r="F7" i="23"/>
  <c r="E7" i="23"/>
  <c r="D7" i="23"/>
  <c r="C7" i="23"/>
  <c r="B7" i="23"/>
  <c r="H9" i="23"/>
  <c r="G9" i="23"/>
  <c r="F9" i="23"/>
  <c r="E9" i="23"/>
  <c r="D9" i="23"/>
  <c r="C9" i="23"/>
  <c r="B9" i="23"/>
  <c r="H11" i="23"/>
  <c r="G11" i="23"/>
  <c r="F11" i="23"/>
  <c r="E11" i="23"/>
  <c r="D11" i="23"/>
  <c r="C11" i="23"/>
  <c r="B11" i="23"/>
  <c r="C13" i="23"/>
  <c r="B13" i="23"/>
  <c r="H3" i="24"/>
  <c r="H2" i="24" s="1"/>
  <c r="G3" i="24"/>
  <c r="G2" i="24" s="1"/>
  <c r="F3" i="24"/>
  <c r="F2" i="24" s="1"/>
  <c r="E3" i="24"/>
  <c r="E2" i="24" s="1"/>
  <c r="D3" i="24"/>
  <c r="D2" i="24" s="1"/>
  <c r="C3" i="24"/>
  <c r="C2" i="24" s="1"/>
  <c r="B3" i="24"/>
  <c r="H5" i="24"/>
  <c r="G5" i="24"/>
  <c r="F5" i="24"/>
  <c r="E5" i="24"/>
  <c r="D5" i="24"/>
  <c r="C5" i="24"/>
  <c r="B5" i="24"/>
  <c r="H7" i="24"/>
  <c r="G7" i="24"/>
  <c r="F7" i="24"/>
  <c r="E7" i="24"/>
  <c r="D7" i="24"/>
  <c r="C7" i="24"/>
  <c r="B7" i="24"/>
  <c r="H9" i="24"/>
  <c r="G9" i="24"/>
  <c r="F9" i="24"/>
  <c r="E9" i="24"/>
  <c r="D9" i="24"/>
  <c r="C9" i="24"/>
  <c r="B9" i="24"/>
  <c r="H11" i="24"/>
  <c r="G11" i="24"/>
  <c r="F11" i="24"/>
  <c r="E11" i="24"/>
  <c r="D11" i="24"/>
  <c r="C11" i="24"/>
  <c r="B11" i="24"/>
  <c r="C13" i="24"/>
  <c r="B13" i="24"/>
  <c r="H3" i="25"/>
  <c r="H2" i="25" s="1"/>
  <c r="G3" i="25"/>
  <c r="G2" i="25" s="1"/>
  <c r="F3" i="25"/>
  <c r="F2" i="25" s="1"/>
  <c r="E3" i="25"/>
  <c r="E2" i="25" s="1"/>
  <c r="D3" i="25"/>
  <c r="D2" i="25" s="1"/>
  <c r="C3" i="25"/>
  <c r="C2" i="25" s="1"/>
  <c r="B3" i="25"/>
  <c r="H5" i="25"/>
  <c r="G5" i="25"/>
  <c r="F5" i="25"/>
  <c r="E5" i="25"/>
  <c r="D5" i="25"/>
  <c r="C5" i="25"/>
  <c r="B5" i="25"/>
  <c r="H7" i="25"/>
  <c r="G7" i="25"/>
  <c r="F7" i="25"/>
  <c r="E7" i="25"/>
  <c r="D7" i="25"/>
  <c r="C7" i="25"/>
  <c r="B7" i="25"/>
  <c r="H9" i="25"/>
  <c r="G9" i="25"/>
  <c r="F9" i="25"/>
  <c r="E9" i="25"/>
  <c r="D9" i="25"/>
  <c r="C9" i="25"/>
  <c r="B9" i="25"/>
  <c r="H11" i="25"/>
  <c r="G11" i="25"/>
  <c r="F11" i="25"/>
  <c r="E11" i="25"/>
  <c r="D11" i="25"/>
  <c r="C11" i="25"/>
  <c r="B11" i="25"/>
  <c r="C13" i="25"/>
  <c r="B13" i="25"/>
  <c r="B2" i="14"/>
  <c r="G2" i="14" l="1"/>
  <c r="E2" i="14"/>
  <c r="C2" i="14"/>
  <c r="H2" i="14"/>
  <c r="F2" i="14"/>
  <c r="D2" i="14"/>
</calcChain>
</file>

<file path=xl/sharedStrings.xml><?xml version="1.0" encoding="utf-8"?>
<sst xmlns="http://schemas.openxmlformats.org/spreadsheetml/2006/main" count="251" uniqueCount="209">
  <si>
    <t>NOTAS</t>
  </si>
  <si>
    <t>CONFIGURACIÓN DEL CALENDARIO</t>
  </si>
  <si>
    <t>AÑO</t>
  </si>
  <si>
    <t>INICIO DE LA SEMANA</t>
  </si>
  <si>
    <t>DOMINGO</t>
  </si>
  <si>
    <t>Festivo</t>
  </si>
  <si>
    <t>7 horas INC000041605012 subiendo y haciendo validaciones y documentación.</t>
  </si>
  <si>
    <t xml:space="preserve">INC000041600703,  INC000041605012, INC000041138386 , INC000041529937, INC000041254902, INC000041320813, INC000041321172, INC000041321033 , INC000041320626, haciendo documentación validando y subiendo la documentacion 8 horas . INC000041692604  una hora. </t>
  </si>
  <si>
    <t>INC000041642785 8 horas, en INC000041321033, INC000041321172 una hora sacando trazas y comprobando el fallo porque no validaba.</t>
  </si>
  <si>
    <t>INC000041642785 3 horas. INC000041600703 1 hora Haciendo documentación para INC000041692383, INC000041600703  validando y subiendo documentos 1 hora. Revizando el svw y metiendo las incidencias en el ecxel del control de correctivo 4</t>
  </si>
  <si>
    <t>soporte literal covid19 4 horas.  INC000041838382 1,5 horas 3,5 horas en INC000041770375.</t>
  </si>
  <si>
    <t>INC000041770375 3 horas.INC000041935882  1 horas. 2 horas sacando trazas y haciendo pruebas d interna cambio de dirección no funciona INC000041838382 1 hora.</t>
  </si>
  <si>
    <t>INC000041600703 4,5 horas.  INC000041193709 4,5 horas.</t>
  </si>
  <si>
    <t>FESTIVO</t>
  </si>
  <si>
    <t>INC000041599567, INC000041903395 , INC000041916482, INC000040511635, INC000041076880 documentación y validación de incidencias y subiendo documentos 4 horas, INC000041935036 5 horas</t>
  </si>
  <si>
    <t>INC000041935036 9 horas.</t>
  </si>
  <si>
    <t xml:space="preserve">Realizando regresión del portal en PRE (ML)y haciendo documento de validación de la regresion 2,5 horas. INC000041769063, INC000042151569 haciendo la documentación 1,5horas, haciendo regresión del portal de MR 1 hora. INC000041935036 4 horas. </t>
  </si>
  <si>
    <t xml:space="preserve">INC000041935036 4 horas, INC000041140855 3 horas </t>
  </si>
  <si>
    <t>INC000042250645, INC000041766624, INC000041887256, INC000040495137 2,5 horas. Curso Confluence 0,5 horas. Con el soporte que volvio(INC000041140855)6 horas</t>
  </si>
  <si>
    <t>Con el soporte que volvio(INC000041140855)6 horas, INC000042473414 analizando 1 hora. INC000042474135 1 hora. INC000042162118 haciendo documentación 0,5 horas.</t>
  </si>
  <si>
    <t>INC000042551520 4 horas. INC000042553110 2 horas,  [AenorInterna] punto 1,3, 3 horas.</t>
  </si>
  <si>
    <t>INC000042398915,INC000041637511,INC000042178028  3 horas (Analizando), [Interna]Error detectado al añadir dirección de envío 1 hora.</t>
  </si>
  <si>
    <t xml:space="preserve">INC000042551520 7 horas, </t>
  </si>
  <si>
    <t xml:space="preserve">[[INTERNO] (Registro MR ) 2 horas. INC000042755782 2,5 horas. INC000042772061 1,5 horas. [IBF2B-867 - Factura Digital: Pruebas con NEOL en PINT] 2 horas. INC000042423450 1 horas
</t>
  </si>
  <si>
    <t>INC000041992241 0,5 haciendo la documentación. [INTERNO ] ( Recuperar contraseña en MR ¿Qué funcionalidad tiene si el email está duplicado?) 2 horas. [[INTERNO] (Registro MR ) 2. INC000042423450 3,5 horas</t>
  </si>
  <si>
    <t>[INTERNO]  Registro MR, falta un literal  2 horas, [IBF2B-867 - Factura Digital: Pruebas con NEOL en PINT] 2 horas(Reunion).  [PREPRO] Error P2 detectada en NEOL en pago ondemand y en el pago con tarjeta. INC000042792696 1 hora. Haciendo documentación para INC000042784715 0,5 horas. Incidencia INC000039285828 detectada en Producción Buscar correo para mandar el usuario 2 horas, INC000042806066 1,5 horas.</t>
  </si>
  <si>
    <t>INC000042806066 -- 4 horas. [INTERNO : Usuarios con problemas en la actualización del consumo][INTERNO : Usuarios con problemas en la visualización del consumo ] [INTERNO :  Usuarios con problemas en la visualización de sus contratos  ] 5 horas.</t>
  </si>
  <si>
    <t xml:space="preserve">Haciendo documentación para incidencia NC000042786737 0,5 horas. Buscando trazas para PREPRO Ciclo 041 - Error al registrar lectura - INC000041935882 P3 0,5. Sacando evidencias para la comprobación del soporte transformar el texto de facturas y pagos 0,5. INC000042755782 analizando 1 hora; INC000042927893 analizando 1 hora.  </t>
  </si>
  <si>
    <t>INC000042484886, INC000042428458 , INC000042485562,  haciendo documentación y validaciones 3 horas.  INC000043052657 --&gt; MDS - Incidencia en el proceso en catalán --&gt; 6 horas</t>
  </si>
  <si>
    <t>Regresión portal ML 2 horas, Regresión portal MR 2 horas, INC000042942983 3 horas. INC000043121571 --&gt; nuevos tags de terceros --&gt;  2 hora.</t>
  </si>
  <si>
    <t xml:space="preserve">INC000043121571 --&gt; nuevos tags de terceros --&gt; dos horas, INC000042942983 --&gt; 3 horas, INC000042148240   --&gt; 3 horas, haciendo el pase y validando 1 hora. </t>
  </si>
  <si>
    <t xml:space="preserve">Regresión del portal de MDS (sacando trazas y informando los servisios que no funcionaban ) --&gt; 2 horas.  INC000042755785 --&gt; 2 horas. INC000043051349 --&gt; 1 hora. INC000042832865 --&gt; 1 hora. </t>
  </si>
  <si>
    <t>INC000042854797 --&gt; MdS - Orden volcado consentimientos --&gt; 5 horas. INC000043054543 --&gt; 4 horas.</t>
  </si>
  <si>
    <t>INC000042272302 --&gt; 2horas. INC000042428458 --&gt; MDS - Espacios entre textos y solape al mover el scroll. --&gt; 2 horas. INC000042497639 --&gt; MDS - No asignación de la venta al canal --&gt; 3. horas. INC000043233717 --&gt; 2 horas.</t>
  </si>
  <si>
    <t xml:space="preserve">[INTERNO] Usuarios con problemas en el consumo 3 horas. INC000043176650 --&gt; haciendo documentación y validando --&gt; 0,5 hora. Reunión Con Alicia MDS 1,5. INC000042905008--&gt; 1 hora. INC000042996544 --&gt; 3 horas. </t>
  </si>
  <si>
    <t>INC000042854797 --&gt; 2 horas (Arreglando los chekcs que no se veían ). INC000042854797 , INC000043233717 , INC000042272302 haciendo documentacion 1,5horas.INC000043397993--&gt;3,5 horas.</t>
  </si>
  <si>
    <t>INC000042996544 --&gt; 2 horas. INC000043433183 --&gt; 2horas.  INC000043151824 -&gt; 3 horas. Regresión portal ML, MR 2 horas.</t>
  </si>
  <si>
    <t xml:space="preserve">INC000043397993 --&gt; 3 horas. INC000042996544 --&gt; 4. INC000043055316 --&gt; 2 horas. </t>
  </si>
  <si>
    <t>NC000043054543 --&gt; 2 horas.
INC000043083511 -- &gt;  0.5 horas.
INC000043063841
INC000043283580
INC000043375110
INC000043055316
INC000043514742 
NC000043496014 --&gt; 1 hora.
INC000043108040 --&gt; 1 hora.
INC000043780720 --&gt; 2 horas.</t>
  </si>
  <si>
    <t>INC000043780456 --&gt; 2 horas. INC000043780882 --&gt; 5 horas. INC000043795659 --&gt; 1 hora., NC000042620585 --&gt; 1 hora.</t>
  </si>
  <si>
    <t>RV: [Energía XXI] Usuarios con comentarios en Stores</t>
  </si>
  <si>
    <t>INC000043780882 --&gt; 6 horas. Haciendo el pase --&gt; 1 hora.</t>
  </si>
  <si>
    <t>INC000044010180 -- 2 horas. [INTERNO pruebas cliente 49073717C] --&gt; 2 horas. [INTERNO] Webpush --&gt; 5 horas.</t>
  </si>
  <si>
    <t>INC000043796271 --&gt; 2 horas. INC000043389697 --&gt; 1 hora. [INTERO SANTI APP ] --&gt; 1 hora. [INTERNO] Webpush --&gt; 5 horas.</t>
  </si>
  <si>
    <t>[TAGS DE TERCEROS] --&gt; 2  horas. INC000044221382 --&gt; 3 horas. INC000043389697 --&gt; 2,5. Regresión portal ML 1,5 horas.</t>
  </si>
  <si>
    <t>[INTERNO] Webpush --&gt; 2 horas. INC000044117346 --&gt; 3 horas. INC000044180465 --&gt; 2 horas. [TAGS DE TERCEROS] --&gt; 2 horas.</t>
  </si>
  <si>
    <t>INC000044174716 --&gt; 2 horas. [INTERNO - MODIFICACION CONCEPTOS PARAMETRICAS ] --&gt; 2 hora. Haciendo el pase y validando 1 hora.  INC000043389697 --&gt; 2</t>
  </si>
  <si>
    <t>INC000043389697 --&gt; 2 horas. INC000044219094 --&gt; 2 horas. INC000044430713--&gt; haciendo documentación 0,5 horas. INC000044335685 --&gt; 1 hora. INC000044341412 --&gt; 2 horas. INC000044219094 --&gt; 1,5 horas.</t>
  </si>
  <si>
    <t>INC000044314612 --&gt; 4 horas. INC000044341412 --&gt; 2 horas. Reunion Nueva metodología de trabajo 1 hora .  INC000044333921 --&gt; 1 hora.  INC000044333921 --&gt; 1 hora.</t>
  </si>
  <si>
    <t>INC000044430713 -- &gt; 3 horas.  INC000044430713 --&gt; 3 horas. [Interna --&gt; Jose reyes --&gt; Usuario Ana María Lamprea - 52267065W] --&gt; 3 horas.</t>
  </si>
  <si>
    <t xml:space="preserve">INC000044538216 --&gt; 2horas. INC000044341412 --&gt; 2 horas. INC000044540465 --&gt; 3 horas. INC000044314612 --&gt; 2 horas.
ID: 5
Id Session: fIgsxqrGDrGJH3szJUrcE5YUkrePoD80jjBVZJZg_b08zDyQbrLD!797214652!1513729098!1607068986054
IP: 172.18.62.67, 10.152.0.40
Alias: Not user in session
Response-Code: 200
Encoding: UTF-8
Content-Type: text/xml;charset=utf-8
Headers: {connection=[Close], content-type=[text/xml;charset=utf-8], Date=[Fri, 04 Dec 2020 08:18:45 GMT], Server=[Jetty(9.4.8.v20171121)], transfer-encoding=[chunked], Vary=[Accept-Encoding,User-Agent]}
Payload: &lt;?xml version='1.0' encoding='UTF-8'?&gt;&lt;soapenv:Envelope xmlns:soapenv="http://schemas.xmlsoap.org/soap/envelope/" xmlns:tns="http://xmlns.endesa.com/wsdl/GI/AltaModDatosCli/OSCOS011/Mensajes" xmlns:tns3="http://xmlns.tibco.com/psg/CommonSchemas" xmlns:tns4="http://xmlns.endesa.com/wsdl/GI/AltaModDatosCli/OSCOS011/" xmlns:tns1="http://xmlns.endesa.com/CommonSchemasNeol" xmlns:tns2="http://xmlns.endesa.com/CommonSchemas"&gt;&lt;soapenv:Body&gt;&lt;tns:AltaModDatosCliResponse&gt;&lt;tns:SOAHeaderResponse&gt;&lt;tns2:SOAId&gt;03e7f5d3-8100-4195-a5d8-643021d7e81a&lt;/tns2:SOAId&gt;&lt;tns2:Result&gt;&lt;tns2:Status&gt;ERROR&lt;/tns2:Status&gt;&lt;tns2:ErrorCode&gt;OSCOS011_104&lt;/tns2:ErrorCode&gt;&lt;tns2:ErrorMessage&gt;Ya existe el cliente&lt;/tns2:ErrorMessage&gt;&lt;/tns2:Result&gt;&lt;/tns:SOAHeaderResponse&gt;&lt;tns:AltaModDatosCliMsgResponse&gt;&lt;tns:ErrorHeader&gt;&lt;tns1:Error&gt;&lt;tns1:CodigoError&gt;OSCOS011_104&lt;/tns1:CodigoError&gt;&lt;tns1:MensajeError&gt;Ya existe el cliente&lt;/tns1:MensajeError&gt;&lt;/tns1:Error&gt;&lt;/tns:ErrorHeader&gt;&lt;/tns:AltaModDatosCliMsgResponse&gt;&lt;/tns:AltaModDatosCliResponse&gt;&lt;/soapenv:Body&gt;&lt;/soapenv:Envelope&gt;
--------------------------------------
</t>
  </si>
  <si>
    <t>Rgresión portal Ml-MR --&gt; 4 horas. Pase a pro(subiendo elementos validando el portal ) --&gt; 1,5 hora. INC000044540465 --&gt; 1,5 hora.</t>
  </si>
  <si>
    <t>Haciendo documentación INC000044554992, INC000044430713 , INC000044425923 , INC000043389697,  --&gt; INC000043957251  --&gt; 3  horas.  [reunión borrado UID ] --&gt; 0,5 horas INC000044314612 --&gt; 5,5 horas</t>
  </si>
  <si>
    <t>INC000044219094 , INC000044174716 , INC000044651534, INC000044333921, INC000044335685 , INC000044220209, INC000044288265, INC000044229190  --&gt; 6.5 horas ,[Reunión error Valla de mds ] --&gt; 1 hora. Reunión punto de control 0,5 horas.</t>
  </si>
  <si>
    <t xml:space="preserve">INC000044426351 , INC000044601072 , INC000044589876, INC000044430961, INC000044497380 --&gt; 5,5. Reunión formación pase 1,5 hora. </t>
  </si>
  <si>
    <t>INC000044430961 --&gt; 2 horas , INC000044615929 --&gt; 2 horas , Regresión portal MR y ML 5 horas.</t>
  </si>
  <si>
    <t>Regresión portal mr ml --&gt; 2 horas. INC000044337376  --&gt; 5</t>
  </si>
  <si>
    <t>INC000044541610, INC000044482173, INC000044498048,INC000044540465, INC000044550325,INC000045038693,INC000044597287, INC000044552323 --&gt;  8 horas. Reunion soporte pruebas 1 hora.</t>
  </si>
  <si>
    <t>INC000044600658 --&gt; 2 horas  , INC000044498048 --&gt; 2 horas ,  INC000045174963 --&gt; 3 horas.</t>
  </si>
  <si>
    <t>INC000044498048 --&gt; 2 horas INC000044615929 --&gt; 2 horas  , INC000044600658 --&gt; 2 horas  INC000045095594 --&gt; 0,5   ,pase a producción y validación 0,5 hora.</t>
  </si>
  <si>
    <t>festivo</t>
  </si>
  <si>
    <t>vacaciones</t>
  </si>
  <si>
    <t xml:space="preserve">INC000045184488, INC000045182759, INC000045143080, --&gt; , Planificar y valorar - cambios en procesos UID --&gt; </t>
  </si>
  <si>
    <t xml:space="preserve">Planificar y valorar - cambios en procesos UID --&gt; </t>
  </si>
  <si>
    <t>Vacaciones</t>
  </si>
  <si>
    <r>
      <rPr>
        <b/>
        <sz val="11"/>
        <color theme="1" tint="0.24994659260841701"/>
        <rFont val="Sylfaen"/>
        <family val="1"/>
        <scheme val="minor"/>
      </rPr>
      <t>INC000046080214 --&gt;</t>
    </r>
    <r>
      <rPr>
        <sz val="11"/>
        <color theme="1" tint="0.24994659260841701"/>
        <rFont val="Sylfaen"/>
        <family val="2"/>
        <scheme val="minor"/>
      </rPr>
      <t xml:space="preserve"> 4 horas. </t>
    </r>
    <r>
      <rPr>
        <b/>
        <sz val="11"/>
        <color theme="1" tint="0.24994659260841701"/>
        <rFont val="Sylfaen"/>
        <family val="1"/>
        <scheme val="minor"/>
      </rPr>
      <t xml:space="preserve">INC000046114416 </t>
    </r>
    <r>
      <rPr>
        <sz val="11"/>
        <color theme="1" tint="0.24994659260841701"/>
        <rFont val="Sylfaen"/>
        <family val="2"/>
        <scheme val="minor"/>
      </rPr>
      <t>--&gt; 5 horas.</t>
    </r>
  </si>
  <si>
    <t>INC000046114416 --&gt; 5 horas. INC000046080214 --&gt; 4 horas.</t>
  </si>
  <si>
    <t>INC000046114416 --&gt; 5 horas. Pase --&gt; 2 horas.</t>
  </si>
  <si>
    <t>Nuevos tags terceros MDS INC000043121571 --&gt; 3 horas, Regrsión Portal(solicitada por correo por Álvaro Mugarza ) --&gt; 2 horas. INC000045869627 --&gt; 2 horas. INC000046245744 --&gt; 2 horas.</t>
  </si>
  <si>
    <t>Con los de IT configurando el equipo nuevo --&gt; 2 horas. Nuevos tags terceros MDS INC000043121571 --&gt; 3 horas. INC000044599174, INC000045129020,INC000045885224,INC000046114416 --&gt; Haciendo documentación y validando  --&gt; 3 horas. INC000045869627 --&gt; 1 hora.</t>
  </si>
  <si>
    <t>INC000046398243 --&gt; 2 horas. INC000046449437  --&gt; 2 horas. INC000046432753 --&gt; 2 hora. INC000046432144 --&gt; 1 hora. INC000046445330 --&gt; 2 hora.</t>
  </si>
  <si>
    <t>INC000046332317  --&gt; 2 horas. INC000046331966  --&gt; 2 horas. INC000046139877 --&gt; 1 horas,(INC000046114416 la parte de Mario) --&gt; 2 horas. INC000046245744 --&gt; 2 horas.</t>
  </si>
  <si>
    <t>(INC000046114416 la parte de Mario) y validandolo en pre ) --&gt; 3 horas . [Incremento errores  EC y Energía XXI (POR CORREO)] --&gt; 3 horas.  Pase a producción y validación 1 hora.</t>
  </si>
  <si>
    <t>INC000046398243, INC000040074878 --&gt; 1 hora. INC000046532115 --&gt; 2 horas. INC000046504473 --&gt; 2 horas. [Interno Fichero transacciones desde 09/12/2020] --&gt; 3 horas. [Incremento errores  EC y Energía XXI (POR CORREO)] --&gt; 1 hora.</t>
  </si>
  <si>
    <t>INC000046432753,INC000046432144,INC000046445330 --&gt; 2 horas .INC000046351001 -&gt; 2 horas. [ Incidencia PRO gráfica MR ] --&gt; 1 hora.INC000046674403 -- 1 hora.  INC000046675563 -- 1 hora. INC000046503091 --&gt; 1 hora.</t>
  </si>
  <si>
    <t>INC000046652505 --&gt; 2 horas. [Interno validando y subiendo hasta pro los correctivos de ALBA] --&gt; 2 hora . INC000046613693 --&gt; 1 hora. INC000046675677 --&gt; 1 horas. INC000046675563 --&gt; 1hora. [Una hora subiendo y validando pase].</t>
  </si>
  <si>
    <t>INC000046634881 --&gt; 2 horas. INC000046715095 --&gt; 2 horas. INC000046708993 --&gt; 1 hora. INC000046659656 --&gt; 4 horas.</t>
  </si>
  <si>
    <t>INC000046760553 --&gt; 2 . [Regresión del portal ML y MR] --&gt; 4 horas.  Pase a Producción --&gt; 1 hora.</t>
  </si>
  <si>
    <t>[Nuevos tags de terceros, interno por correo]  --&gt; 2 horas. INC000046868576 --&gt; 2 horas. INC000046835339 --&gt; 1 hora. INC000046835645 --&gt; 1 hora. INC000046833626 --&gt; 1 hora. INC000046835339 --&gt; 2 hora.</t>
  </si>
  <si>
    <t>INC000046801851 --&gt; 2 horas. INC000046708993 --&gt; 2 horas. INC000046715095 --&gt; 1 horas. INC000046139877 --&gt; 1hora. INC000046816986 --&gt; 1 hora. INC000046503091 --&gt; 1 hora. INC000046505401 --&gt; 1 hora</t>
  </si>
  <si>
    <t>INC000046503091 --&gt; 6 horas(casos: 18299153, 18077731, 23976489, 23978490, 24125660, 19625104,  22149668, 22537355, 24061893 ). INC000046774798 --&gt; 3 horas.</t>
  </si>
  <si>
    <t>INC000046774798 casos(26150259,   28123886, 18643306, 28387232, 18111689, 18311227, 18564370, 28580938, 29374535, 28077575, 28433709, 28227410, 29404699) --&gt; 5 horas. INC000046884533 --&gt; 2 horas. INC000046833626 --&gt; 2 horas.</t>
  </si>
  <si>
    <t xml:space="preserve">INC000047126256 --&gt; 3 horas. INC000046854369 -- &gt; 2 horas .  INC000047073577 --&gt; 2 horas. 
INC000046854369 --&gt; </t>
  </si>
  <si>
    <t>INC000046613693(haciendo documentacíon y validaciones) --&gt; 0,5. INC000047101152 --&gt; 2 horas.  INC000047023987 --&gt; 2 horas. INC000046675563 --&gt; 2 horas. INC000047105143 --&gt; 2,5 horas.</t>
  </si>
  <si>
    <t>INC000046675563 --&gt; 3 horas. INC000047105143 --&gt; 3 horas. INC000047186686 --&gt; 3 horas.</t>
  </si>
  <si>
    <t>INC000046675563 --&gt; 3 horas. INC000047186686 --&gt; 4 horas. INC000047279477 --&gt; 2 horas.</t>
  </si>
  <si>
    <t xml:space="preserve">INC000046854369 --&gt; 2 horas. INC000047314146 --&gt; 1 hora. INC000047373358 --&gt; 1 hora. INC000047311405 --&gt; 2 hora. INC000047328019 --&gt; 1 hora. INC000047311533 --&gt; 2 hora. </t>
  </si>
  <si>
    <t>INC000046816986 --&gt;1,5  INC000046760553 --&gt;1,5 . INC000046812661 --&gt;1.5 INC000047267705 --&gt;1,5. &gt; Pase a producción y regresión del portal ml y mr 1 horas.</t>
  </si>
  <si>
    <t>INC000047267705 --&gt; 5 horas. INC000046816986 --&gt; 2 horas. INC000046760553 --&gt; 2 horas.</t>
  </si>
  <si>
    <t>INC000047267705 --&gt; 2 horas. INC000047279042 --&gt; 4 horas. INC000047565179 --&gt; 3 horas.</t>
  </si>
  <si>
    <t>AENOR --&gt; 5 horas. INC000047680444 --&gt;  4 horas.</t>
  </si>
  <si>
    <t>REUNION PASO CONOCIMIENTOS UID --&gt; 1,5 horas. INC000047279042 --&gt; 2 horas. INC000047565179 --&gt; 3 AENOR --&gt; 2,5</t>
  </si>
  <si>
    <t xml:space="preserve">INC000047640957 --&gt; 1 hora. INC000047770855  --&gt; 2 horas . INC000047758274 --&gt; 2 horas. Haciendo documentación para(INC000047680444,INC000047267705,INC000047565179,INC000047186686 )1hora. </t>
  </si>
  <si>
    <t>[INTERNO] --&gt; Recuadros en formularios de producción --&gt; 3 horas. Ejercicio Derecho RGPD - Soporte extraordinario -   23736 - 47323864F --&gt; 1 hora. INC000047758274 --&gt; 3 horas. INC000047707737--&gt; 1. hora. INC000047809940 --&gt; 1 hora.</t>
  </si>
  <si>
    <t>Ejercicio Derecho RGPD - Soporte extraordinario -   CRUCE DE DATOS  - 23828 --&gt; 1 hora. Reunión traspaso conocimientos UID --&gt; 1 hora. INC000047707737 --&gt; 1 hora. INC000047893956 --&gt; 3 horas. INC000047906654 --&gt; 3 horas.</t>
  </si>
  <si>
    <t>INC000047906654 --&gt; 3 horas. INC000047893956 --&gt; 3 horas. INC000047902669 --&gt; 3horas.</t>
  </si>
  <si>
    <t>[INTERNO 07969271R-08032242K-25462956R] busqueda y eliminación usuarios en UID --&gt; 2 horas .   INC000046007841 --&gt; haciendo documentación y validación --&gt; 0,5 horas.  INC000048040273 --&gt; 3 horas  . INC000047893956--&gt; 2. INC000048002994 --&gt; 1,5 horas.</t>
  </si>
  <si>
    <t>INC000047730143 --&gt; 5 horas. INC000048260689 --&gt; 2 horas. INC000048241013 --&gt; 2 horas.</t>
  </si>
  <si>
    <t xml:space="preserve">***INTERNO***RV: Inventario de todas las comunicaciones de Energía XXI --&gt; 5 horas. Revisión incidencia INC000046077621 --&gt; 1 hora. INC000048290330 --&gt; 2 horas. INC000048320732 --&gt; 1 horas.
</t>
  </si>
  <si>
    <t xml:space="preserve"> INC000048320732 --&gt; 2  . INC000048412410 --&gt; 4 horas. Cambios en el chat 1 hora . SEPA - INC000047742482 --&gt; 2 horas.</t>
  </si>
  <si>
    <t>INC000048412410 --&gt; 3 horas. apertura nuevo soporte [Grace] cambio css login  --&gt; 3 horas. SEPA - INC000047742482 --&gt; 1 hora.</t>
  </si>
  <si>
    <t>INC000048454304 --&gt; 3 horas . INC000048393387 --&gt; 2 horas. INC000048540163 --&gt; 4 horas.</t>
  </si>
  <si>
    <t>Eliminación usuario MR por cruce de datos - 23967 --&gt; 1 hora. INC000048454304 --&gt; 1 hora. INC000048540163 --&gt; 1 hora. INC000048320732 --&gt; 1 hora. INC000048604879 --&gt; 5 horas</t>
  </si>
  <si>
    <t>INC000048605256 --&gt; 2 horas. INC000048605342 --&gt; 2 horas. INC000048605561 --&gt; 2 horas. INC000047748324 --&gt; 1 hora. Pase a produción y validación -- 1 hora. Haciendo documentación para INC000048605561,INC000048605342,INC000048605256 --&gt; 1 hora.</t>
  </si>
  <si>
    <t xml:space="preserve">**INTERNO***RV: Reseteo de contraseña --&gt; 1 hora. Haciendo ducuementación para INC000047758274, INC000047906654,  --&gt; 1 hora. AENOR[Preparación del pase] 4 horas. Pase y validaciones --1 hora. </t>
  </si>
  <si>
    <t>INC000048668869 --&gt; 1 hora. USUARIOS para pruebas pre --&gt; 4 horas. INC000048604699 --&gt; 4 horas.</t>
  </si>
  <si>
    <t>para pruebas pre cambio tarifa happy --&gt; 3 horas. INC000048605056 --&gt; 2 horas. INC000048640931 --&gt; 2 horas.</t>
  </si>
  <si>
    <t>INC000048320732 (Error al dar de alta en ML desde la consola WSC) --&gt; 5 horas . INC000048888035(PCC - Registro -NIF/CIFSolicitamos apertura de incidencia para que se revise la correcta validación) --&gt; 2 horas. INC000048604879(PCC - Registro - En el mensaje de confirmación de la activación de cuenta (lightbox) aparece en el a) --&gt; 2 horas.</t>
  </si>
  <si>
    <t>para pruebas pre cambio tarifa happy --&gt; 5 horas. INC000048604879(PCC - Registro - En el mensaje de confirmación de la activación de cuenta (lightbox) aparece en el a) --&gt; 2 horas. INC000048640286(PCC- Soporte - En el combo "Documento" - cambiar NIF por DNI/NIF  WEB y APP) --&gt; 2 horas.</t>
  </si>
  <si>
    <t xml:space="preserve">INC000048640286(PCC- Soporte - En el combo "Documento" - cambiar NIF por DNI/NIF  WEB y APP) --&gt; 2 horas. INC000048888035(PCC - Registro -NIF/CIFSolicitamos apertura de incidencia para que se revise la correcta validación) --&gt; 5 horas. INC000048604879(PCC - Registro - En el mensaje de confirmación de la activación de cuenta (lightbox) aparece en el a) --&gt; 2 horas. </t>
  </si>
  <si>
    <t>[Interno - Soporte  -- corrección usuario Producción pedido por GRACE] --&gt; 2 hora. INC000048320732 (Error al dar de alta en ML desde la consola WSC) --&gt; 4 horas. INC000049042312(No permite dar de alta usuario en ML que no está en bbdd porque el identificador yaexiste) -- 1,5 horas. INC000048992407(Alta usuario consola Por favor, necesitamos abrir incidencia porque cuando intentamos de dar de alt) --&gt; 1,5 horas.</t>
  </si>
  <si>
    <t>INC000048996733 ( PJA06001 - 25862098R - Error vaya 16/03/2021 ) --&gt; 2 horas. INC000049043775 (No es posible tramitar el alta de la tarifa única. Da un error. Se adjunta pantallazo. Datos de ejem 17/03/2021 -- 18/03/2021 )  --&gt; 2 horas. Reunion Interna.</t>
  </si>
  <si>
    <t>COMPENSADOS</t>
  </si>
  <si>
    <t>INC000048888586 (PCC - Error 404 - Recordar usuarioDetectamos una sesión en tealeaf que cuando la clienta intenta re) -- &gt; 3 horas. INC000049021407 (Buenos días, estamos detectando solicitudes diferidas MDS, donde el cliente solicita cambio de poten) --&gt; 1 hora. Derecho RGPD - Soporte extraordinario Expediente 24020 --&gt; 1 hora. INC000048918666 (Tenemos un cliente que tiene una factura emitida que no puede descargar ni desde la web ni desde SF) -- &gt; 2 horas. INC000048992407 (Alta usuario consola Por favor, necesitamos abrir incidencia porque cuando intentamos de dar de alt) --&gt; 1 hora.  NC000048794406 (Consola - No permite eliminar usuario ML  ) --&gt; 1 hora.</t>
  </si>
  <si>
    <t>INC000048640931(PCC- Incorporar máscara para que no admita introducir un teléfono fijo) --&gt; 3 horas. INC000048922124 (Cliente con tarifa de empleado accede a los consumos de la web de la factura que comprende el period) --&gt; 2 horas. INC000048796433 (PCC - Error Consumos One NocturnaEl cliente con NIF: 37251728P al acceder a su área privada, no se) --&gt; 2 horas. INC000048922124(Cliente con tarifa de empleado accede a los consumos de la web de la factura que comprende el period) --&gt; 2horas.</t>
  </si>
  <si>
    <t>INC000047806527(Hola buenos días, No puedo recuperar contraseña tan poco puedo recuperar usuario, en ambos casos n) --&gt; 2 horas. INC000049374349 (Error al dar de alta en ML desde la consola WSC) --&gt; 2 horas. INC000049397600 (Consola - Error sistema no disponible en alta.) --&gt; 2 horas. INC000048738892 --&gt; 2 hora. INC000049388012 (PGC05401 - 42823587W - Error vaya) --&gt; 1 hora.</t>
  </si>
  <si>
    <t>INC000049388012 (PGC05401 - 42823587W - Error vaya) --&gt; 2 hora. [Interno - reunión infoenergía ] --&gt; 1 hora. INC000049348062 (No funcionan el reseteo de contraseña desde la web EC de los usuarios en estado "bloqueado") --&gt; 2 horas. INC000049338278(PCC- Estados Pet/Rec ECEn la web de EC no se están mostrando los estados de peticiones y reclamacio) --&gt; 1 hora.</t>
  </si>
  <si>
    <t>INC000049021407 (Buenos días, estamos detectando solicitudes diferidas MDS, donde el cliente solicita cambio de poten)  4 horas. INC000049442203 --&gt; 2 horas(SOPORTE   [Soporte - suprimir "usuario" LOGIN]) . Preparación Pase a producción --&gt; 1 hora.</t>
  </si>
  <si>
    <t>COMPEMSADO</t>
  </si>
  <si>
    <t>INC000049705642 (PJA050 - 25947345X - Error solicitud) --&gt; 2 horas. INC000049929366(PGC05401 - 42823587W - Error vaya) --&gt; 2 horas. INC000049924031 (CDATE453 - Atento - 46415116N - Error vaya) --&gt; 2 horas. INC000049818686 (CDDGL003 - ABAI - 02484185R - Error vaya) --&gt; 1,5 horas. INC000049477464 (La cuenta ya existe en UID pero no figura en NEOL y no podemos darlo de alta) --&gt; 1.5 hora</t>
  </si>
  <si>
    <r>
      <t xml:space="preserve">INC000049637001 (Buenas tardes,En "Registro" si no se rellenan los campos de "Datos de usuario" clicamos en el chec) --&gt; 2 horas. INC000049462827 (No se puede dar de alta : error el usuario no existe en CRM hubo un error en el webservice) --&gt; 3horas. </t>
    </r>
    <r>
      <rPr>
        <sz val="11"/>
        <color rgb="FFFF0000"/>
        <rFont val="Sylfaen"/>
        <family val="1"/>
        <scheme val="minor"/>
      </rPr>
      <t>INC000050010548 (Nuevos tags terceros) --&gt; 2 horas.</t>
    </r>
    <r>
      <rPr>
        <sz val="11"/>
        <color theme="1" tint="0.24994659260841701"/>
        <rFont val="Sylfaen"/>
        <family val="2"/>
        <scheme val="minor"/>
      </rPr>
      <t xml:space="preserve"> INC000049691341 (OCF03017 - X3939823S Error calculo cuota)--&gt; 2 horas.</t>
    </r>
  </si>
  <si>
    <t>INC000049637001 (Buenas tardes,En "Registro" si no se rellenan los campos de "Datos de usuario" clicamos en el chec) --&gt; 2 horas. DIVORCIO --&gt; horas.</t>
  </si>
  <si>
    <r>
      <rPr>
        <sz val="11"/>
        <color rgb="FFFF0000"/>
        <rFont val="Sylfaen"/>
        <family val="1"/>
        <scheme val="minor"/>
      </rPr>
      <t>INC000049464247 (Estados activos pero sin datos en UID ni ENELID (no deja enmascarar ni eliminar) --&gt; 3 horas</t>
    </r>
    <r>
      <rPr>
        <sz val="11"/>
        <color theme="1" tint="0.24994659260841701"/>
        <rFont val="Sylfaen"/>
        <family val="2"/>
        <scheme val="minor"/>
      </rPr>
      <t>.</t>
    </r>
    <r>
      <rPr>
        <sz val="11"/>
        <color rgb="FFFF0000"/>
        <rFont val="Sylfaen"/>
        <family val="1"/>
        <scheme val="minor"/>
      </rPr>
      <t xml:space="preserve"> INC000049477288 (Error pendiente de migración pero no tiene ningún e-mail en UID) --&gt; 3 horas. INC000049996722 (Nuevas condiciones Generales Endesa X Única y COSMOS) --&gt; 2 Horas. Reunión interna correctivo --&gt; 1hora.</t>
    </r>
  </si>
  <si>
    <t>INC000050145675 --&gt; (usuarios que NO están migrados a UID y tienen el usuario en NEOL en estado “Bloqueado (en ML)) --&gt; 3 horas. INC000049996722 (Nuevas condiciones Generales Endesa X Única y COSMOS) --&gt; 2 Horas. INC000049511893 (ENDESA CLIENTES:) --&gt; 2 horas. INC000050132612 ( PMA07501 - X0702715L - Error calculo cuota --&gt; 2 horas.</t>
  </si>
  <si>
    <t>INC000050125408 (SOPORTE EXXI-Apertura soporte proceso registro (link)) --&gt; 3 horas. INC000050124268 (SOPORTE EXXI-Apertura soportes proceso registro) --&gt; 3 horas. INC000050113391 (SOPORTE EXXI--Soporte / Comunicacion Bienvenido a Mi Área Privada) --&gt; 3 horas.</t>
  </si>
  <si>
    <t>[INTERNO ANÁLISIS]RE: Incidencia error al acceder a la web con mensaje de" esta web es exclusiva..." --&gt; 2 horas. INC000050008169 (Buenas tardes, Se detectan casos en los que algunos clientes navegando en la web de EC no consiguen) --&gt; 0,5. INC000050356644. ([19/04/21] Cambiar el faldón de UNICA (ver adjunto) el 19 de abril) --&gt; 2horas. [INTERNO ]RE: Requerimientos Watson registro, reseteo pwd y olvido usuario --&gt; 2 horas. INC000050145675 (usuarios que NO están migrados a UID y tienen el usuario en NEOL en estado “Bloqueado (en ML)) --&gt; 2,5 horas.</t>
  </si>
  <si>
    <r>
      <t>I</t>
    </r>
    <r>
      <rPr>
        <sz val="11"/>
        <color rgb="FFFF0000"/>
        <rFont val="Sylfaen"/>
        <family val="1"/>
        <scheme val="minor"/>
      </rPr>
      <t>NC000049462827 (No se puede dar de alta : error el usuario no existe en CRM hubo un error en el webservice) --&gt; 2 horas. [INTERNO ]RE: Requerimientos Watson registro, reseteo pwd y olvido usuario --&gt; 2,5 horas. INC000050367604 (PCC -Facturas - Leyenda de gráficaDesde facturas: no aparece la leyenda en la gráficaNIF: 309675) --&gt; 2 horas. INC000050368201 (PCC - Errores varios en facturas (mobile)1. El slider en detalle de factura a veces no aparece y c) -&gt; 2,5.</t>
    </r>
  </si>
  <si>
    <t xml:space="preserve">INC000049996722 (Nuevas condiciones Generales Endesa X Única y COSMOS) --&gt; 0.5 horas haciendo documentación.
INC000050125408 (EXXI-Apertura soporte proceso registro (link) --&gt; 0.5 horas haciendo documentación.
INC000050113391 (EXXI--Soporte / Comunicacion Bienvenido a Mi Área Privada) --&gt; 0.5 horas haciendo documentación.
INC000050124268 (EXXI-Apertura soportes proceso registro) --&gt; 0.5 horas haciendo documentación.
INC000050145675 (Buenas tardes,Por favor, necesitamos abrir una incidencia porque Los usuarios que NO están migrado) --&gt; 0.5 horas haciendo documentación.
[Preparación para el pase a producción] --&gt; 2 horas.  INC000050368201 (PCC - Errores varios en facturas (mobile)1. El slider en detalle de factura a veces no aparece y c) -- &gt; 1.5. INC000050367604 (PCC -Facturas - Leyenda de gráficaDesde facturas: no aparece la leyenda en la gráficaNIF: 309675) --&gt; 1 hora.
INC000049996722 (Nuevas condiciones Generales Endesa X Única y COSMOS) --&gt; 0.5 horas haciendo documentación.
INC000050125408 (EXXI-Apertura soporte proceso registro (link) --&gt; 0.5 horas haciendo documentación.
INC000050113391 (EXXI--Soporte / Comunicacion Bienvenido a Mi Área Privada) --&gt; 0.5 horas haciendo documentación.
INC000050124268 (EXXI-Apertura soportes proceso registro) --&gt; 0.5 horas haciendo documentación.
INC000050145675 (Buenas tardes,Por favor, necesitamos abrir una incidencia porque Los usuarios que NO están migrado) --&gt; 0.5 horas haciendo documentación.
[Preparación para el pase a producción] --&gt; 2 horas.
INC000049996722 (Nuevas condiciones Generales Endesa X Única y COSMOS) --&gt; 0.5 horas haciendo documentación.
INC000050125408 (EXXI-Apertura soporte proceso registro (link) --&gt; 0.5 horas haciendo documentación.
INC000050113391 (EXXI--Soporte / Comunicacion Bienvenido a Mi Área Privada) --&gt; 0.5 horas haciendo documentación.
INC000050124268 (EXXI-Apertura soportes proceso registro) --&gt; 0.5 horas haciendo documentación.
INC000050145675 (Buenas tardes,Por favor, necesitamos abrir una incidencia porque Los usuarios que NO están migrado) --&gt; 0.5 horas haciendo documentación.
[Preparación para el pase a producción] --&gt; 2 horas.
</t>
  </si>
  <si>
    <t>INC000050305361 (Error al adjuntar MANDATO SEPA - INC000047741589) --&gt; 0,5 horas. INC000050365396 (PCC - Diseño Card ConsumoFalta diseño primera card en web mobile cuando no hay datos de consumo. R) --&gt; 3 horas. INC000050436133 (PCC – Card ÚnicaOcultar la card de cambia o cancela tu modalidad. Esta solo se debe mostrar para ú) --&gt; 3 horas. INC000050501988 (CDATE417- 75400178Z - Error vaya) --&gt; 2,5 horas.</t>
  </si>
  <si>
    <t>INC000050367604 (PCC -Facturas - Leyenda de gráficaDesde facturas: no aparece la leyenda en la gráficaNIF: 309675) --&gt; 2 horas. INC000050436133 (PCC – Card ÚnicaOcultar la card de cambia o cancela tu modalidad. Esta solo se debe mostrar para ú) --&gt; 2 horas.  INC000050366416 (PCC - Error visualización gráfica consumo acumulado (mobile)Gráfica comprimida en la pantalla en c) --&gt; 1 hora. INC000050366043 (PCC - Recomendación a cliente sin datos de consumoAl pulsar sobre la card de consumos, sin haber d) --&gt; 2 horas. INC000050658153 (potencia en area privada) --&gt; 1 hora.</t>
  </si>
  <si>
    <t>INC000050368201 (PCC - Errores varios en facturas (mobile)1. El slider en detalle de factura a veces no aparece y c) --&gt; 2 horas. INC000050566154 (CDDGL105 - Abai - 20212690Z - Error vaya) --&gt; 2 horas. INC000050660354 (SOPORTE Usuario sin EnelID y en neol eliminado pero en UID pendiente de migración. Caso 40019364) --&gt; 2 horas. INC000050658153(potencia en area privada) --&gt; 2horas. INC000050624288 (TE04305 - 18449622B - Error vaya) --&gt; 1 hora.</t>
  </si>
  <si>
    <t>INC000050628238 (CDGSB006 - Gss - 71892322A - Error vaya) --&gt; 2 horas. INC000050630248 (CDGSB006 - Gss - 79106014K - Error vaya) --&gt; 2 horas. PREPARACIÖN PARA EL PASE y suvida a producción 2  horas.</t>
  </si>
  <si>
    <t>[Requerimiento --&gt; DSI000441 Registro y Área privada (cargando e)] --&gt; 9 horas.</t>
  </si>
  <si>
    <t>INC000050150773(CDDGL103 - ABAI - 47720151G - Dualizar CUPS) --&gt; 2 horas. [Requerimiento --&gt; DSI000441 Registro y Área privada (cargando e)] --&gt; 5 horas. FLECHITA QUE AL HACER CLICK AVANZA DOS VECES --&gt; dos horas.</t>
  </si>
  <si>
    <t>[Requerimiento --&gt; DSI000441 Registro y Área privada (carga prefijos paices)] --&gt;  5 horas. INC000050912962(Consola - Discrepancia estados NEOL/UID Cliente nos indica que no puede acceder a su área privada,) --&gt; 2 horas. INC000051006173(Buenas tardes,Caso 22983423El cliente con nif: 11822734K no ve el consumo acumulado de su contrato) --&gt; 2horas.</t>
  </si>
  <si>
    <t>INC000050822820 (CDGSS035 - Gss - 33782885W - Error vaya) --&gt; 2 horas. INC000050815651(Buenos días,En el proceso de cambio de contraseña dentro del área privada de la web de EC si uno d) --&gt; 2 horas. INC000050660354(Soporte Usuario sin EnelID y en neol eliminado pero en UID pendiente de migración. Caso 40019364) --&gt; 2 horas. INC000050368201(PCC - Errores varios en facturas  (mobile)1. El slider en detalle de factura a veces no aparece y c)--&gt;1 hora</t>
  </si>
  <si>
    <t>[Requerimiento --&gt; DSI000441 (Incorporar máscara para que no admita introducir un teléfono fijo (ya está hecho)  e incorporar la label de error (Formato no válido) )] --&gt; 7 horas. INC000050628238(Error valla) --&gt; 2 horas.</t>
  </si>
  <si>
    <t>INC000051233792 (PMA07501 - X0702715L - Error calculo cuota) --&gt; 1 hora. INC000051216085(CDGSB013 - Gss - 31683513R  - Error vaya) --&gt; 1 hora. [Requerimiento --&gt; DSI000441 ] (Adecuar web al comportamiento APP al solicitar el código OTP. Poner el contador (Ver APP)) --&gt; 7 horas.</t>
  </si>
  <si>
    <t>INC000051047422 (Consola - Caso  26318330No se le puede dar de alta al cliente con NIF: 47883729Y, Email eric_marlet) --&gt; 2 horas. INC000051081035 (PCC - VER MASEn navegación web mobile necesitamos que en la página de inicio se alineen los enlaces) --&gt; 4 horas.[Requerimiento --&gt; DSI000441 ] (Adecuar web al comportamiento APP al solicitar el código OTP. Poner el contador (Ver APP)) --&gt; 3 horas.</t>
  </si>
  <si>
    <t>[INTERNO Nuevos tags terceros] --&gt; 3 horas. PREPARACIÖN PARA EL PASE y suvida a producción --&gt; 2  horas. [Requerimiento --&gt; DSI000441 ] (Adecuar web al comportamiento APP al solicitar el código OTP. Poner el contador (Ver APP)) --&gt; 2 horas.</t>
  </si>
  <si>
    <t>[ Watson registro, reseteo pwd y olvido usuario] --&gt; 5 horas. [Requerimiento --&gt; DSI000441 ] (Adecuar web al comportamiento APP al solicitar el código OTP. Poner el contador (Ver APP)) --&gt; 2 horas. INC000051048603 (Cliente no puede acceder a la Web - 29115545Y  MANUEL VEIGA ABAD) --&gt; 2 horas.</t>
  </si>
  <si>
    <t>DSI000441(Reloj cuenta atrás) modificar mail.(Estilos) --&gt; 4  horas. INC000051797472 (DATE208 - ATENTO - 25576384Q - Error vaya) --&gt; 1 hora. [ Requerimientos Watson registro, reseteo pwd y olvido usuario] --&gt; 2 horas. INC000051815179(CDGSB012 - 38445035Y - Error vaya) --&gt; 1 hora. INC000051777231 (CDEMT004 - Emergía - 38506885D - Error vaya) --&gt; 1 hora.</t>
  </si>
  <si>
    <t xml:space="preserve"> DSI000441(Reloj cuenta atrás PARTE PRIVADA ) modificar phone --&gt; 9 horas.</t>
  </si>
  <si>
    <t>1383141437899(SOPORTE exxi-abandono-del-acceso-al-area-cliente.xlsx) --&gt; 3 horas.  DSI000441(Reloj cuenta atrás PARTE PRIVADA ) modificar phone --&gt; 4horas.</t>
  </si>
  <si>
    <t xml:space="preserve">INC000051234459(Web EndesaXXI - se montan textos en la aplicación móvil) --&gt; 5 horas. [INTERNO MERGEANDO ELEMENTOS PREPARACIÖN PASE] --&gt; 2 horas. 1383141437899(SOPORTE exxi-abandono-del-acceso-al-area-cliente.xlsx) --&gt; 2 horas. </t>
  </si>
  <si>
    <t xml:space="preserve"> INC000051797472(CDATE208 - ATENTO - 25576384Q - Error vaya) -- 2 horas. INC000051788347(DATE208 - ATENTO - 25576384Q - Error vaya) --&gt; 2 horas. INC000051777231(CDEMT004 - Emergía - 38506885D - Error vaya) --&gt; 2 horas. INC000051777231(CDEMT004 - Emergía - 38506885D - Error vaya) --&gt; 1 horas. INC000052077455(EMTE2231 - EMERGIA - 37564386G - Error vaya) --&gt; 1 hora. NC000051864611 (CDEMT006 - EMERGIA - 06265835Z - Error vaya) --&gt; 1 hora.</t>
  </si>
  <si>
    <t>INC000052142682 (PMA05807 - 27834766M  - Error vaya) --&gt; 2 horas. INC000052179777(CDDGL105 - Abai - 73160157D - Error vaya) --&gt; 2 horas. DSI0001184 (4.13) --&gt; 5 horas.</t>
  </si>
  <si>
    <t xml:space="preserve">DSI0001184 (4.13) --&gt; 4 horas. DSI0001184(4.17) --&gt; 3 horas. Error en alta WCS[INTERNO -- REVISIÓN] --&gt; 2 Horas. </t>
  </si>
  <si>
    <t>INC000051234459 Web EndesaXXI - se montan textos en la aplicación móvil --&gt; 9 horas.</t>
  </si>
  <si>
    <t>INC000052247180 (Cambios en Docs. Generals y Docs. Particulares UNICA (se adjuntan los nuevos documentos)) --&gt; 5 horas. INC000051234459 Web EndesaXXI - se montan textos en la aplicación móvil --&gt; 4 horas.</t>
  </si>
  <si>
    <t>INC000052247180 (Soporte)(Cambios en Docs. Generals y Docs. Particulares UNICA (se adjuntan los nuevos documentos)) --&gt; 7 horas.</t>
  </si>
  <si>
    <t>INC000052247180 (Soporte)(Cambios en Docs. Generals y Docs. Particulares UNICA (se adjuntan los nuevos documentos)) --&gt; 6 horas.DSI0001184(4.1)Contreseña Web - 3 horas.</t>
  </si>
  <si>
    <t>DSI0001184(Reloj cuenta atrás) Recupera PASSWORD --&gt; 9 horas.</t>
  </si>
  <si>
    <t>DSI0001184(Reloj cuenta atrás) modificar teléfono. --&gt; 9 horas.</t>
  </si>
  <si>
    <t>INC000051708512 (CDATE436 - ATENTO - 46534631L - Error vaya) --&gt; 2 horas. [Internio WATSON-REGISTRO ] --&gt; 4 horas. INC000051709913 (PJA05701 - 25851078K - Error vaya) --&gt; 2 horas. DSI0001184(Reloj cuenta atrás) modificar mail. --&gt; 1 horas.</t>
  </si>
  <si>
    <t>DSI0001184(Reloj cuenta atrás) modificar mail. --&gt; 7 horas.</t>
  </si>
  <si>
    <t>INC000051194605(No funciona autorización sobre UNICA) --&gt; 1 hora. INC000051012212 (Buenas tardes, abrimos incidencia ya que la cliente 47761498C - MARIA DEL CARME JUNCOSA VIDAL, cuand) --&gt; 2 horas. INC000050624288 (PTE04305 - 18449622B - Error vaya) --&gt; 2 horas. DSI0001184(Reloj cuenta atrás) modificar teléfono. --&gt; 4 horas.</t>
  </si>
  <si>
    <t>INC000049021407 -- Buenos días, estamos detectando solicitudes diferidas MDS --&gt; 1 hora. INC000052039207 -- PJA06001 - 52557768P - Error vaya --&gt; 1 hora. INC000052685507 -- Riesgo regulatorio Registro EXXI - Validacion SMS - SENDER --&gt; 1 hora. DSI0001184(4.1)Contreseña Web - 6 horas.</t>
  </si>
  <si>
    <t>NO SE Q PONER</t>
  </si>
  <si>
    <t>INC000051416061(SOPORTE exxi-abandono-del-acceso-al-area-cliente.xlsx) --&gt; 3 horas. INC000051234459(Web EndesaXXI - se montan textos en la aplicación móvil) --&gt; 3 horas. DSI000441(Reloj cuenta atrás) modificar phone --&gt; 3 horas.</t>
  </si>
  <si>
    <t>INC000054433052(CPE - Error en RegistroCuando un usuario intenta darse de alta con el mismo email que ya tiene dad) --&gt; 3 horas. [INTERNO publicacion de estaticos entre entornos] --&gt; 1.5 horas. DSI0001184(4.1)Contreseña Web - 4.5 horas.</t>
  </si>
  <si>
    <t>INC000053623447 (CDGSS172 - Gss - 42205588J - Error vaya) --&gt; 2 horas. INC000054483460 (Potencias incoherentes con Tensión en Web Energía XXI) --&gt; 1.5 horas. [INTERNO publicacion de estaticos entre entornos] --&gt; 3 horas.  DSI0001184(4.1)Contreseña Web - 2.5 horas.</t>
  </si>
  <si>
    <t>[INTERNO publicacion de estaticos entre entornos] --&gt; 3 horas. Reunión correctivo 1,5 horas. Reunión evolutivo (contraseña ) 1,5 horas. DSI0001184(4.1)Contreseña Web - 3 horas.</t>
  </si>
  <si>
    <t xml:space="preserve">[INTERNO PREPARACION Y SUBIDA DEL PASE ] --&gt; 3 horas. DSI0001184(4.1)Contreseña Web - 2 horas. [INTERNO publicacion de estaticos entre entornos] --&gt; 3 horas. </t>
  </si>
  <si>
    <t>INC000055183967 (Recuperación Credenciales) --&gt; 2 horas. INC000054433052 (CPE - Error en RegistroCuando un usuario intenta darse de alta con el mismo email que ya tiene dad) --&gt; 2 horas. INC000055195933( Error al modificar la cuenta bancaria asociada a un contrato, ya que no nos aparece el combo para modificar la cuenta.) --&gt; 2 horas. INC000054984913(Error Webservice) --&gt; 2 horas. 4.15(Pantalla inicial antes del registro, informando de los datos que necesitamos para el proceso) --&gt; 1 horas.</t>
  </si>
  <si>
    <t>4.15(Pantalla inicial antes del registro, informando de los datos que necesitamos para el proceso) --&gt; 9 horas.</t>
  </si>
  <si>
    <t>[INTERNO publicacion de estaticos entre entornos] --&gt; 3 horas. INC000051474857(Borrado de usuarios UID de NEOL) --&gt; 2 horas. INC000055924964(PMA07402 - 78190132E-Error vaya) --&gt; 2 horas. INC000055722077(PCC - Error MaquetaciónEn el gráfico de consumos aparece desmaquetada la parte izquierda, lo que h) --&gt; 1 hora. INC000055917592(Las barras de consumo no están bien maquetadas) --&gt; 1 hora.</t>
  </si>
  <si>
    <t>INC000055917592(Las barras de consumo no están bien maquetadas) --&gt; 2 horas.  INC000051474857(Borrado de usuarios UID de NEOL.) --&gt; 3 . INC000055680613(EXXI--Texto para gestionar expectativas pagos ) --&gt; 2 horas.</t>
  </si>
  <si>
    <t>INC000051474857(Borrado de usuarios UID de NEOL.) --&gt; 3 horas. 500552574068() --&gt; 3 horas. INC000055680613(EXXI--Texto para gestionar expectativas pagos ) --&gt; 3 horas.</t>
  </si>
  <si>
    <t>[INTERNO publicacion de estaticos entre entornos] --&gt; 1 hora. INC000051474857(Borrado de usuarios UID de NEOL.) --&gt; 3 horas. INC000055681510(EE--Texto para gestionar expectativas pagos)--5 horas.</t>
  </si>
  <si>
    <t>INC000051474857(Borrado de usuarios UID de NEOL.) --&gt; 1 horas. INC000056922061(Botón Infoenergía no funciona) --&gt; 5 horas. INC000055681510(EE--Texto para gestionar expectativas pagos)--3 horas.</t>
  </si>
  <si>
    <t>INC000055722077(PCC - Error MaquetaciónEn el gráfico de consumos aparece desmaquetada la parte izquierda, lo que h) --&gt; 9 horas</t>
  </si>
  <si>
    <t>INC000055722077(PCC - Error MaquetaciónEn el gráfico de consumos aparece desmaquetada la parte izquierda, lo que h) --&gt; 4 horas. Preparación pase producción --&gt; 2 horas. Corrigiendo errores JAVASCRIPT DYNATRACE 1 hora.</t>
  </si>
  <si>
    <t>INC000056278525([Web Endesa Clientes]:  ayer pudo acceder, cerró sesión. Un rato más tarde  intentó acceder pero ya no le dejó acceder. Incidencia anterior: INC000052106149.)-- 2 horas. [Interno Corrigiendo errores JAVASCRIPT DYNATRACE 2 horas.]. INC000057303954(Error en la APP grafica consumo acumulado) --&gt;  1 hora. INC000057551647 (Abro esta incidencia para solucionar un error que se produce en la ficha de producto de Única en ing) --&gt; 1 hora. [Interno pruebas registro] --&gt; 1 hora.</t>
  </si>
  <si>
    <t>INC000055193552 ([endesa clientes] &lt;error acceso&gt;) --&gt;  1 hora. INC000055024486(CPE - Calculadora MLNo se arrastran los decimales en la gestión de cambio de potencia cuando viene) --&gt; 3 horas. INC000054803089 (CPE - Discrepancia importes facturados) --&gt; 5 horas.</t>
  </si>
  <si>
    <t>[interno pruebas registro] --&gt; 2 horas. Reunión general interna (Junio) --1,5 horas. INC000058544954(EXXI--Texto para gestionar expectativas pagos relacionada con la INC000055680613) --&gt; 5,5 horas.</t>
  </si>
  <si>
    <t xml:space="preserve">INC000053191834(SOPORTE Error Webservice ) --&gt; 5 horas. INC000053585865 (COR002-07911733D-ERROR GENÉRICO) --&gt; 2 hora. INC000052321605(Quitar cambio de modalidad en Inglés y Catalán) --&gt; 2 hora. </t>
  </si>
  <si>
    <t>INC000056278525([Web Endesa Clientes]:  ayer pudo acceder, cerró sesión. Un rato más tarde  intentó acceder pero ya no le dejó acceder. Incidencia anterior: INC000052106149.)--&gt; 2 horas.INC000058544954(EXXI--Texto para gestionar expectativas pagos .        relacionada con la INC000055680613) --&gt; 2 horas. INC000055185022(PME07204 - 41731202W - Error calculo cuota) --&gt; 3 horas.</t>
  </si>
  <si>
    <t>INC000058776227(Incidencia Activación Registro EC) --&gt; 3 horas. INC000058819234 (Incidencia Aviso de disponibilidad: Descuadre importe Energía) --&gt; 2 horas. INC000055185022(PME07204 - 41731202W - Error calculo cuota) --&gt; 2 horas.</t>
  </si>
  <si>
    <t>INC000058543949(Segunda liberación de PA - DSI000489 Filtro Contingencia Autorizados MR) --&gt; 7 horas.</t>
  </si>
  <si>
    <t>DSI0001184 (4.15)Pantalla inicial antes del registro, informando de los datos que necesitamos para el proceso --&gt; 2,5 horas. INC000058799131 (Soporte cambio texto bajada potencia ) --&gt; 2 horas. INC000055185022(PME07204 - 41731202W - Error calculo cuota) --&gt; 2,5 horas.</t>
  </si>
  <si>
    <t>[Interno -- Corrección del usuario -- Y4268611D] --&gt; 3 horas. INC000059479676(al intentar dar de alta a un usuario da error (consola caída) ) --&gt; 4 horas.</t>
  </si>
  <si>
    <t>DSI0001184 (4.15)Pantalla inicial antes del registro, informando de los datos que necesitamos para el proceso --&gt; 3 horas. INC000058799131 (Soporte cambio texto bajada potencia ) --&gt; 3 horas.  INC000059479676(al intentar dar de alta a un usuario da error (consola caída) ) --&gt; 1 horas.</t>
  </si>
  <si>
    <t>[Interno] preparación pase a producción --&gt; 2horas. INC000058799131 (Soporte cambio texto bajada potencia ) --&gt; 2 horas.  INC000059479676 (al intentar dar de alta a un usuario da error (consola caída) ) --&gt; 3 horas.</t>
  </si>
  <si>
    <t>INC000055237332( Discordancia del importe de única entre SFW y COSMOSEn este cliente tenemos una discordancia de pre )--&gt; 3 horas INC000058976718( Tercera liberación de PA - DSI000489 Filtro Contingencia Autorizados MR) --&gt; 4 horas.</t>
  </si>
  <si>
    <t>INC000058588693(TLMLEO007 - 77415453Y - Error Vaya) --&gt; 2 horas. INC000059437411(Canal Televenta Única - Cat Emisión. Vaya ... error) --&gt; 2 horas. INC000059598046 (Canal Televenta Única - Cat Emisión.  VAYA ... ERROR) --&gt; 2 horas.</t>
  </si>
  <si>
    <t>INC000056497620(Incidencias área cliente Única) --&gt; 3 horas. INC000058588693(Error valla ) --&gt; 2 horas. INC000056091506(Error valla) --&gt; 2 horas.</t>
  </si>
  <si>
    <t>INC000057771646(XCA00202-13690325N-Error vaya) --&gt; 2 horas. INC000060881082(Icono Alertas) --&gt; 3horas. INTERNO  ( Agregamos @hellomail blacklist) --&gt; 2 horas.</t>
  </si>
  <si>
    <t>Enfermo</t>
  </si>
  <si>
    <t>060912396(PCC - No muestra enlace de "Facturas") --&gt; 2 horas.  INC000060911960(PCC - Error sistema no disponible) --&gt; 2 horas. NC000060867442(40299133 03080668W JUAN ANGEL GRANADA GARCIA-LOYGORRI) --&gt; 2 horas. [interno] preparación para el pase --&gt; 1 hora.</t>
  </si>
  <si>
    <t>INC000065845419 (Incidencia alta usuario ML - Cosmos) --&gt; 3,5. INC000065844947 (ERROR GESTIÓN EC) --&gt; 3,5 horas.</t>
  </si>
  <si>
    <t>INC000065602271 (Incidencia derivada de la incidencia INC000062450970 por doble resolutor)  -- &gt; 2 horas. INC000058976718 (Tercera liberación de PA - DSI000489 Filtro Contingencia Autorizados MR) --&gt; 2 horas.  INC000056315277(Incidencia Aviso de disponibilidad) --&gt; 3 horas.</t>
  </si>
  <si>
    <t>INC000062450489(Alta en la web de MR a personas físicas por error: el servicio no se encuentra disponible) --&gt; 3 horas. INC000065602271 (Incidencia derivada de la incidencia INC000062450970 por doble resolutor)  -- &gt; 2 horas. INC000056315277(Incidencia Aviso de disponibilidad) --&gt; 2 horas.</t>
  </si>
  <si>
    <t xml:space="preserve"> INC000058976718 (Tercera liberación de PA - DSI000489 Filtro Contingencia Autorizados MR) --&gt; 2 horas. INC000061408375 ([Ajustes en página ¿Qué necesito para registrarme?]) --&gt; 3 horas. [Interno preparación para el pase a producción] --&gt; 2 horas.</t>
  </si>
  <si>
    <t>DSI001184 [Dashboard contrato en baja -- arreglando lo del pase] --&gt; 4 horas. INC000063740238 (Gas ML y MR) --&gt; 3 horas.</t>
  </si>
  <si>
    <t>INC000067362387 (Incidencia Aviso de disponibilidad: Gráficas de consumo viene de la INC000056315277) --&gt; 3,5 horas. INC000063740238 (Gas ML y MR) --&gt; 3,5 horas.</t>
  </si>
  <si>
    <t>INC000067362387 (Incidencia Aviso de disponibilidad: Gráficas de consumo viene de la INC000056315277) --&gt; 3,5 horas. INC000066824616(Tipografía, ordenación y literal ) --&gt; 3,5 horas.</t>
  </si>
  <si>
    <t>NC000068353118(PCC - Errores en modificar contraseña desde el área privada - Perfil) --&gt; 2 horas. INC000068353901(PCC - Soporte modificación "Volver a Login") --&gt; 3 horas. [INTERNO](Preparacion al pase y pase) --&gt; 2 horas.</t>
  </si>
  <si>
    <t>INC000068353901() --&gt; 3 horas.</t>
  </si>
  <si>
    <t>INC000064946603(PCC - Error card Happy 50Detectamos los siguientes funcionamientos erróneos en el área privada de ) --&gt; 7 horas.</t>
  </si>
  <si>
    <t>INC000066297292(Incidencia Aviso de disponibilidad: Descuadre importe Energía ) --&gt; 7 horas.</t>
  </si>
  <si>
    <t>INC000064946603(PCC - Error card Happy 50Detectamos los siguientes funcionamientos erróneos en el área privada de ) --&gt; 4 horas.  INC000068353118 (PCC - Errores en modificar contraseña desde el área privada - Perfil) --&gt; 3 horas.</t>
  </si>
  <si>
    <t>INC000069361153 (Introducir lecturas) --&gt; 3 horas. INC000069543996(Aviso Disponibilidad - Orden conceptos GAS EE y EXXI) --&gt; 4 horas.</t>
  </si>
  <si>
    <t>INC000069102611(CDATE411-25173148Q-Error cálculo cuota) --&gt; 2 horas. INC000068517167(Buenas tardes, no puedo contratar la tarifa Única para este CUPS: ES0031104834010001XP0F, Clienta: 5) --&gt; 3 horas. INC000068365166(PCC - Fecha alta/baja y estados de Única) --&gt; 2 horas.</t>
  </si>
  <si>
    <t>INC000068104000(MODELO SUSCRIPCIONBuenos días,Estamos detectando que lo firmado por el cliente no coincide con la ) --&gt; 7 horas.</t>
  </si>
  <si>
    <t>INC000068365166(PCC - Fecha alta/baja y estados de Única) --&gt; 7 horas.</t>
  </si>
  <si>
    <t>[Interno] (Corrección de usurio en PRO) --&gt; 2 horas. INC000068365166(PCC - Fecha alta/baja y estados de Única) --&gt; 3 horas.</t>
  </si>
  <si>
    <t>INC000066123826(MODELO SUSCRIPCIÓNBuenos días, Desde el BO OPV, se han detectando incidencia en los contratos fi) --&gt; 7 horas.</t>
  </si>
  <si>
    <t>INC000066123826(MODELO SUSCRIPCIÓNBuenos días, Desde el BO OPV, se han detectando incidencia en los contratos fi) --&gt; 3 horas. [Interno] (Usuarios que no se les pude dar de baja en pro) --&gt; 2 horas. [Preparación pace] --&gt; 2 horas.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</si>
</sst>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d"/>
  </numFmts>
  <fonts count="18" x14ac:knownFonts="1">
    <font>
      <sz val="11"/>
      <color theme="1" tint="0.24994659260841701"/>
      <name val="Sylfaen"/>
      <family val="2"/>
      <scheme val="minor"/>
    </font>
    <font>
      <sz val="8"/>
      <name val="Arial"/>
      <family val="2"/>
    </font>
    <font>
      <sz val="10"/>
      <name val="Century Gothic"/>
      <family val="2"/>
    </font>
    <font>
      <b/>
      <sz val="11"/>
      <color theme="0"/>
      <name val="Sylfaen"/>
      <family val="2"/>
      <scheme val="minor"/>
    </font>
    <font>
      <b/>
      <sz val="14"/>
      <color theme="0"/>
      <name val="Sylfaen"/>
      <family val="2"/>
      <scheme val="minor"/>
    </font>
    <font>
      <sz val="35"/>
      <color theme="4"/>
      <name val="Sylfaen"/>
      <family val="2"/>
      <scheme val="minor"/>
    </font>
    <font>
      <sz val="12"/>
      <color theme="4" tint="-0.24994659260841701"/>
      <name val="Sylfaen"/>
      <family val="1"/>
      <scheme val="major"/>
    </font>
    <font>
      <sz val="11"/>
      <color theme="1" tint="0.34998626667073579"/>
      <name val="Sylfaen"/>
      <family val="2"/>
      <scheme val="minor"/>
    </font>
    <font>
      <sz val="11"/>
      <color theme="4" tint="-0.24994659260841701"/>
      <name val="Sylfaen"/>
      <family val="2"/>
      <scheme val="minor"/>
    </font>
    <font>
      <sz val="11"/>
      <color indexed="63"/>
      <name val="Sylfaen"/>
      <family val="2"/>
      <scheme val="minor"/>
    </font>
    <font>
      <sz val="11"/>
      <name val="Sylfaen"/>
      <family val="2"/>
      <scheme val="minor"/>
    </font>
    <font>
      <b/>
      <sz val="11"/>
      <color theme="1" tint="0.34998626667073579"/>
      <name val="Sylfaen"/>
      <family val="2"/>
      <scheme val="minor"/>
    </font>
    <font>
      <sz val="11"/>
      <color theme="1" tint="0.24994659260841701"/>
      <name val="Sylfaen"/>
      <family val="2"/>
      <scheme val="minor"/>
    </font>
    <font>
      <sz val="11"/>
      <color theme="8"/>
      <name val="Sylfaen"/>
      <family val="2"/>
      <scheme val="minor"/>
    </font>
    <font>
      <b/>
      <sz val="11"/>
      <color theme="1" tint="0.24994659260841701"/>
      <name val="Sylfaen"/>
      <family val="1"/>
      <scheme val="minor"/>
    </font>
    <font>
      <sz val="11"/>
      <color theme="1" tint="0.24994659260841701"/>
      <name val="Sylfaen"/>
      <family val="1"/>
      <scheme val="minor"/>
    </font>
    <font>
      <sz val="11"/>
      <color rgb="FFFF0000"/>
      <name val="Sylfaen"/>
      <family val="1"/>
      <scheme val="minor"/>
    </font>
    <font>
      <sz val="11"/>
      <color rgb="FF000000"/>
      <name val="Calibri"/>
      <family val="2"/>
    </font>
  </fonts>
  <fills count="8">
    <fill>
      <patternFill patternType="none"/>
    </fill>
    <fill>
      <patternFill patternType="gray125"/>
    </fill>
    <fill>
      <patternFill patternType="solid">
        <fgColor indexed="9"/>
        <bgColor indexed="64"/>
      </patternFill>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2"/>
        <bgColor indexed="64"/>
      </patternFill>
    </fill>
    <fill>
      <patternFill patternType="solid">
        <fgColor theme="4" tint="0.79998168889431442"/>
        <bgColor indexed="64"/>
      </patternFill>
    </fill>
  </fills>
  <borders count="4">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top/>
      <bottom style="medium">
        <color theme="4" tint="-0.24994659260841701"/>
      </bottom>
      <diagonal/>
    </border>
  </borders>
  <cellStyleXfs count="17">
    <xf numFmtId="0" fontId="0" fillId="0" borderId="0">
      <alignment vertical="top"/>
    </xf>
    <xf numFmtId="0" fontId="9" fillId="3" borderId="0" applyNumberFormat="0" applyBorder="0" applyAlignment="0" applyProtection="0"/>
    <xf numFmtId="0" fontId="8" fillId="0" borderId="3" applyNumberFormat="0" applyFill="0" applyProtection="0">
      <alignment horizontal="left" vertical="center" indent="1"/>
    </xf>
    <xf numFmtId="0" fontId="3" fillId="4" borderId="1" applyNumberFormat="0" applyAlignment="0" applyProtection="0"/>
    <xf numFmtId="0" fontId="4" fillId="5" borderId="2" applyNumberFormat="0" applyProtection="0">
      <alignment vertical="center"/>
    </xf>
    <xf numFmtId="0" fontId="5" fillId="0" borderId="0" applyFill="0" applyBorder="0" applyProtection="0">
      <alignment vertical="center"/>
    </xf>
    <xf numFmtId="167" fontId="7" fillId="0" borderId="0" applyFont="0" applyFill="0" applyBorder="0" applyAlignment="0" applyProtection="0"/>
    <xf numFmtId="165" fontId="7" fillId="0" borderId="0" applyFont="0" applyFill="0" applyBorder="0" applyAlignment="0" applyProtection="0"/>
    <xf numFmtId="166"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11" fillId="6" borderId="0" applyBorder="0" applyProtection="0">
      <alignment horizontal="left" vertical="top" wrapText="1" indent="1"/>
    </xf>
    <xf numFmtId="168" fontId="7" fillId="0" borderId="0">
      <alignment horizontal="left" indent="1"/>
    </xf>
    <xf numFmtId="0" fontId="10" fillId="6" borderId="0" applyNumberFormat="0" applyFont="0" applyBorder="0" applyAlignment="0">
      <alignment horizontal="left" vertical="center" indent="1"/>
    </xf>
    <xf numFmtId="0" fontId="6" fillId="0" borderId="0">
      <alignment horizontal="left" indent="1"/>
    </xf>
    <xf numFmtId="0" fontId="8" fillId="0" borderId="0" applyFill="0" applyProtection="0"/>
    <xf numFmtId="0" fontId="12" fillId="0" borderId="0" applyFill="0" applyProtection="0"/>
  </cellStyleXfs>
  <cellXfs count="39">
    <xf numFmtId="0" fontId="0" fillId="0" borderId="0" xfId="0">
      <alignment vertical="top"/>
    </xf>
    <xf numFmtId="0" fontId="0" fillId="2" borderId="0" xfId="0" applyFill="1">
      <alignment vertical="top"/>
    </xf>
    <xf numFmtId="0" fontId="2" fillId="0" borderId="0" xfId="0" applyFont="1">
      <alignment vertical="top"/>
    </xf>
    <xf numFmtId="0" fontId="8" fillId="2" borderId="0" xfId="2" applyFill="1" applyBorder="1" applyAlignment="1">
      <alignment vertical="center"/>
    </xf>
    <xf numFmtId="0" fontId="5" fillId="0" borderId="0" xfId="5" applyFill="1" applyBorder="1" applyAlignment="1">
      <alignment horizontal="right" vertical="center"/>
    </xf>
    <xf numFmtId="0" fontId="0" fillId="0" borderId="0" xfId="0" applyAlignment="1">
      <alignment horizontal="left" indent="1"/>
    </xf>
    <xf numFmtId="0" fontId="0" fillId="2" borderId="0" xfId="0" applyFill="1" applyAlignment="1">
      <alignment horizontal="right"/>
    </xf>
    <xf numFmtId="0" fontId="5" fillId="2" borderId="0" xfId="5" applyFill="1" applyAlignment="1">
      <alignment horizontal="left" vertical="center"/>
    </xf>
    <xf numFmtId="168" fontId="7" fillId="0" borderId="0" xfId="12">
      <alignment horizontal="left" indent="1"/>
    </xf>
    <xf numFmtId="0" fontId="0" fillId="0" borderId="0" xfId="0" applyFont="1">
      <alignment vertical="top"/>
    </xf>
    <xf numFmtId="0" fontId="0" fillId="2" borderId="0" xfId="0" applyFont="1" applyFill="1" applyAlignment="1">
      <alignment horizontal="right"/>
    </xf>
    <xf numFmtId="168" fontId="7" fillId="6" borderId="0" xfId="13" applyNumberFormat="1" applyFont="1" applyAlignment="1">
      <alignment horizontal="left" wrapText="1" indent="1"/>
    </xf>
    <xf numFmtId="0" fontId="0" fillId="0" borderId="0" xfId="0">
      <alignment vertical="top"/>
    </xf>
    <xf numFmtId="0" fontId="8" fillId="0" borderId="3" xfId="2" applyFill="1">
      <alignment horizontal="left" vertical="center" indent="1"/>
    </xf>
    <xf numFmtId="0" fontId="6" fillId="0" borderId="0" xfId="14">
      <alignment horizontal="left" indent="1"/>
    </xf>
    <xf numFmtId="0" fontId="0" fillId="0" borderId="0" xfId="0">
      <alignment vertical="top"/>
    </xf>
    <xf numFmtId="168" fontId="7" fillId="6" borderId="0" xfId="13" applyNumberFormat="1" applyFont="1" applyAlignment="1">
      <alignment horizontal="left" indent="1"/>
    </xf>
    <xf numFmtId="0" fontId="5" fillId="2" borderId="0" xfId="5" applyFill="1" applyBorder="1" applyAlignment="1">
      <alignment horizontal="left" vertical="center"/>
    </xf>
    <xf numFmtId="0" fontId="0" fillId="0" borderId="0" xfId="0">
      <alignment vertical="top"/>
    </xf>
    <xf numFmtId="0" fontId="5" fillId="2" borderId="0" xfId="5" applyFill="1" applyBorder="1">
      <alignment vertical="center"/>
    </xf>
    <xf numFmtId="0" fontId="5" fillId="2" borderId="0" xfId="5" applyNumberFormat="1" applyFill="1" applyBorder="1" applyAlignment="1">
      <alignment horizontal="left" vertical="center"/>
    </xf>
    <xf numFmtId="168" fontId="0" fillId="0" borderId="0" xfId="0" applyNumberFormat="1">
      <alignment vertical="top"/>
    </xf>
    <xf numFmtId="0" fontId="8" fillId="2" borderId="0" xfId="15" applyFill="1"/>
    <xf numFmtId="0" fontId="12" fillId="0" borderId="0" xfId="16"/>
    <xf numFmtId="0" fontId="0" fillId="6" borderId="0" xfId="13" applyFont="1" applyAlignment="1">
      <alignment vertical="top"/>
    </xf>
    <xf numFmtId="0" fontId="0" fillId="6" borderId="0" xfId="13" applyFont="1" applyAlignment="1">
      <alignment vertical="top" wrapText="1"/>
    </xf>
    <xf numFmtId="0" fontId="0" fillId="0" borderId="0" xfId="0" applyAlignment="1">
      <alignment vertical="top" wrapText="1"/>
    </xf>
    <xf numFmtId="0" fontId="13" fillId="0" borderId="0" xfId="0" applyFont="1" applyAlignment="1">
      <alignment vertical="top" wrapText="1"/>
    </xf>
    <xf numFmtId="0" fontId="10" fillId="0" borderId="0" xfId="0" applyFont="1" applyAlignment="1">
      <alignment vertical="top" wrapText="1"/>
    </xf>
    <xf numFmtId="0" fontId="10" fillId="6" borderId="0" xfId="13" applyFont="1" applyAlignment="1">
      <alignment vertical="top" wrapText="1"/>
    </xf>
    <xf numFmtId="0" fontId="0" fillId="6" borderId="0" xfId="13" applyFont="1" applyAlignment="1">
      <alignment vertical="top"/>
    </xf>
    <xf numFmtId="0" fontId="15" fillId="0" borderId="0" xfId="0" applyFont="1" applyAlignment="1">
      <alignment vertical="top" wrapText="1"/>
    </xf>
    <xf numFmtId="0" fontId="15" fillId="6" borderId="0" xfId="13" applyFont="1" applyAlignment="1">
      <alignment vertical="top" wrapText="1"/>
    </xf>
    <xf numFmtId="0" fontId="0" fillId="7" borderId="0" xfId="13" applyFont="1" applyFill="1" applyAlignment="1">
      <alignment vertical="top" wrapText="1"/>
    </xf>
    <xf numFmtId="0" fontId="0" fillId="7" borderId="0" xfId="0" applyFill="1" applyAlignment="1">
      <alignment vertical="top" wrapText="1"/>
    </xf>
    <xf numFmtId="0" fontId="17" fillId="7" borderId="0" xfId="0" applyFont="1" applyFill="1" applyAlignment="1">
      <alignment vertical="top" wrapText="1"/>
    </xf>
    <xf numFmtId="0" fontId="17" fillId="0" borderId="0" xfId="0" applyFont="1" applyAlignment="1">
      <alignment vertical="top" wrapText="1"/>
    </xf>
    <xf numFmtId="0" fontId="11" fillId="6" borderId="0" xfId="11">
      <alignment horizontal="left" vertical="top" wrapText="1" indent="1"/>
    </xf>
    <xf numFmtId="0" fontId="0" fillId="6" borderId="0" xfId="13" applyFont="1" applyAlignment="1">
      <alignment vertical="top"/>
    </xf>
  </cellXfs>
  <cellStyles count="17">
    <cellStyle name="40% - Énfasis1" xfId="1" builtinId="31" customBuiltin="1"/>
    <cellStyle name="Con bandas" xfId="13"/>
    <cellStyle name="Día" xfId="12"/>
    <cellStyle name="Encabezado 1" xfId="2" builtinId="16" customBuiltin="1"/>
    <cellStyle name="Encabezado 4" xfId="11" builtinId="19" customBuiltin="1"/>
    <cellStyle name="Énfasis1" xfId="3" builtinId="29" customBuiltin="1"/>
    <cellStyle name="Énfasis5" xfId="4" builtinId="45" customBuiltin="1"/>
    <cellStyle name="Entrada de configuración" xfId="14"/>
    <cellStyle name="Millares" xfId="6" builtinId="3" customBuiltin="1"/>
    <cellStyle name="Millares [0]" xfId="7" builtinId="6" customBuiltin="1"/>
    <cellStyle name="Moneda" xfId="8" builtinId="4" customBuiltin="1"/>
    <cellStyle name="Moneda [0]" xfId="9" builtinId="7" customBuiltin="1"/>
    <cellStyle name="Normal" xfId="0" builtinId="0" customBuiltin="1"/>
    <cellStyle name="Porcentaje" xfId="10" builtinId="5" customBuiltin="1"/>
    <cellStyle name="Título" xfId="5" builtinId="15" customBuiltin="1"/>
    <cellStyle name="Título 2" xfId="15" builtinId="17" customBuiltin="1"/>
    <cellStyle name="Título 3" xfId="16" builtinId="18" customBuiltin="1"/>
  </cellStyles>
  <dxfs count="24">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Global Calendar">
      <a:dk1>
        <a:sysClr val="windowText" lastClr="000000"/>
      </a:dk1>
      <a:lt1>
        <a:sysClr val="window" lastClr="FFFFFF"/>
      </a:lt1>
      <a:dk2>
        <a:srgbClr val="404040"/>
      </a:dk2>
      <a:lt2>
        <a:srgbClr val="F6F6F1"/>
      </a:lt2>
      <a:accent1>
        <a:srgbClr val="669933"/>
      </a:accent1>
      <a:accent2>
        <a:srgbClr val="E69216"/>
      </a:accent2>
      <a:accent3>
        <a:srgbClr val="609FC2"/>
      </a:accent3>
      <a:accent4>
        <a:srgbClr val="E6B819"/>
      </a:accent4>
      <a:accent5>
        <a:srgbClr val="DA695B"/>
      </a:accent5>
      <a:accent6>
        <a:srgbClr val="956895"/>
      </a:accent6>
      <a:hlink>
        <a:srgbClr val="609FC2"/>
      </a:hlink>
      <a:folHlink>
        <a:srgbClr val="956895"/>
      </a:folHlink>
    </a:clrScheme>
    <a:fontScheme name="Calendar">
      <a:majorFont>
        <a:latin typeface="Sylfaen"/>
        <a:ea typeface=""/>
        <a:cs typeface=""/>
      </a:majorFont>
      <a:minorFont>
        <a:latin typeface="Sylfae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tint="-0.499984740745262"/>
    <pageSetUpPr autoPageBreaks="0" fitToPage="1"/>
  </sheetPr>
  <dimension ref="A1:K14"/>
  <sheetViews>
    <sheetView showGridLines="0" zoomScaleNormal="100" workbookViewId="0">
      <selection activeCell="G12" sqref="G12"/>
    </sheetView>
  </sheetViews>
  <sheetFormatPr baseColWidth="10" defaultColWidth="8.75" defaultRowHeight="15" x14ac:dyDescent="0.25"/>
  <cols>
    <col min="1" max="1" width="2.625" style="15" customWidth="1"/>
    <col min="2" max="2" width="18.25" customWidth="1"/>
    <col min="3" max="8" width="17.625" customWidth="1"/>
    <col min="9" max="9" width="2.625" customWidth="1"/>
    <col min="10" max="10" width="21.625" customWidth="1"/>
    <col min="11" max="11" width="13.625" customWidth="1"/>
  </cols>
  <sheetData>
    <row r="1" spans="1:11" s="1" customFormat="1" ht="60" customHeight="1" x14ac:dyDescent="0.25">
      <c r="A1" s="15"/>
      <c r="B1" s="19" t="str">
        <f ca="1">"Enero "&amp;CalendarYear</f>
        <v>Enero 2021</v>
      </c>
      <c r="C1" s="17"/>
      <c r="D1" s="20"/>
      <c r="E1" s="3"/>
      <c r="F1" s="3"/>
      <c r="G1" s="3"/>
      <c r="H1" s="7"/>
      <c r="J1" s="22" t="s">
        <v>1</v>
      </c>
      <c r="K1" s="12"/>
    </row>
    <row r="2" spans="1:11" s="2" customFormat="1" ht="21.75" customHeight="1" thickBot="1" x14ac:dyDescent="0.4">
      <c r="A2" s="15"/>
      <c r="B2" s="13" t="str">
        <f>WeekStart</f>
        <v>DOMINGO</v>
      </c>
      <c r="C2" s="13" t="str">
        <f t="shared" ref="C2:H2" ca="1" si="0">UPPER(TEXT(C3,"dddd"))</f>
        <v>LUNES</v>
      </c>
      <c r="D2" s="13" t="str">
        <f ca="1">UPPER(TEXT(D3,"dddd"))</f>
        <v>MARTES</v>
      </c>
      <c r="E2" s="13" t="str">
        <f t="shared" ca="1" si="0"/>
        <v>MIÉRCOLES</v>
      </c>
      <c r="F2" s="13" t="str">
        <f t="shared" ca="1" si="0"/>
        <v>JUEVES</v>
      </c>
      <c r="G2" s="13" t="str">
        <f t="shared" ca="1" si="0"/>
        <v>VIERNES</v>
      </c>
      <c r="H2" s="13" t="str">
        <f t="shared" ca="1" si="0"/>
        <v>SÁBADO</v>
      </c>
      <c r="J2" s="23" t="s">
        <v>2</v>
      </c>
      <c r="K2" s="14">
        <f ca="1">YEAR(TODAY())</f>
        <v>2021</v>
      </c>
    </row>
    <row r="3" spans="1:11" s="5" customFormat="1" ht="19.5" customHeight="1" x14ac:dyDescent="0.35">
      <c r="A3" s="15"/>
      <c r="B3" s="8">
        <f t="array" aca="1" ref="B3:H3" ca="1">DaysAndWeeks+DATE(CalendarYear,1,1)-WEEKDAY(DATE(CalendarYear,1,1),(WeekStart="Lunes")+1)+1</f>
        <v>44192</v>
      </c>
      <c r="C3" s="8">
        <f ca="1"/>
        <v>44193</v>
      </c>
      <c r="D3" s="8">
        <f ca="1"/>
        <v>44194</v>
      </c>
      <c r="E3" s="8">
        <f ca="1"/>
        <v>44195</v>
      </c>
      <c r="F3" s="8">
        <f ca="1"/>
        <v>44196</v>
      </c>
      <c r="G3" s="8">
        <f ca="1"/>
        <v>44197</v>
      </c>
      <c r="H3" s="8">
        <f ca="1"/>
        <v>44198</v>
      </c>
      <c r="J3" s="23" t="s">
        <v>3</v>
      </c>
      <c r="K3" s="14" t="s">
        <v>4</v>
      </c>
    </row>
    <row r="4" spans="1:11" ht="57.95" customHeight="1" x14ac:dyDescent="0.25">
      <c r="B4" s="18"/>
      <c r="C4" s="18"/>
      <c r="D4" s="18"/>
      <c r="E4" s="18"/>
      <c r="F4" s="18"/>
      <c r="G4" s="18"/>
      <c r="H4" s="18"/>
      <c r="J4" s="21"/>
    </row>
    <row r="5" spans="1:11" s="5" customFormat="1" ht="19.5" customHeight="1" x14ac:dyDescent="0.25">
      <c r="A5" s="15"/>
      <c r="B5" s="11">
        <f t="array" aca="1" ref="B5:H5" ca="1">DaysAndWeeks+DATE(CalendarYear,1,1)-WEEKDAY(DATE(CalendarYear,1,1),(WeekStart="Lunes")+1)+8</f>
        <v>44199</v>
      </c>
      <c r="C5" s="11">
        <f ca="1"/>
        <v>44200</v>
      </c>
      <c r="D5" s="11">
        <f ca="1"/>
        <v>44201</v>
      </c>
      <c r="E5" s="11">
        <f ca="1"/>
        <v>44202</v>
      </c>
      <c r="F5" s="11">
        <f ca="1"/>
        <v>44203</v>
      </c>
      <c r="G5" s="11">
        <f ca="1"/>
        <v>44204</v>
      </c>
      <c r="H5" s="11">
        <f ca="1"/>
        <v>44205</v>
      </c>
    </row>
    <row r="6" spans="1:11" s="9" customFormat="1" ht="57.95" customHeight="1" x14ac:dyDescent="0.25">
      <c r="A6" s="15"/>
      <c r="B6" s="24"/>
      <c r="C6" s="24"/>
      <c r="D6" s="24"/>
      <c r="E6" s="24"/>
      <c r="F6" s="24"/>
      <c r="G6" s="24"/>
      <c r="H6" s="24"/>
      <c r="J6" s="10"/>
    </row>
    <row r="7" spans="1:11" s="5" customFormat="1" ht="19.5" customHeight="1" x14ac:dyDescent="0.25">
      <c r="A7" s="15"/>
      <c r="B7" s="8">
        <f t="array" aca="1" ref="B7:H7" ca="1">DaysAndWeeks+DATE(CalendarYear,1,1)-WEEKDAY(DATE(CalendarYear,1,1),(WeekStart="Lunes")+1)+15</f>
        <v>44206</v>
      </c>
      <c r="C7" s="8">
        <f ca="1"/>
        <v>44207</v>
      </c>
      <c r="D7" s="8">
        <f ca="1"/>
        <v>44208</v>
      </c>
      <c r="E7" s="8">
        <f ca="1"/>
        <v>44209</v>
      </c>
      <c r="F7" s="8">
        <f ca="1"/>
        <v>44210</v>
      </c>
      <c r="G7" s="8">
        <f ca="1"/>
        <v>44211</v>
      </c>
      <c r="H7" s="8">
        <f ca="1"/>
        <v>44212</v>
      </c>
      <c r="J7" s="6"/>
    </row>
    <row r="8" spans="1:11" s="9" customFormat="1" ht="57.95" customHeight="1" x14ac:dyDescent="0.25">
      <c r="A8" s="15"/>
      <c r="B8" s="18"/>
      <c r="C8" s="18" t="s">
        <v>64</v>
      </c>
      <c r="D8" s="18" t="s">
        <v>64</v>
      </c>
      <c r="E8" s="31" t="s">
        <v>65</v>
      </c>
      <c r="F8" s="26" t="s">
        <v>66</v>
      </c>
      <c r="G8" s="26" t="s">
        <v>67</v>
      </c>
      <c r="H8" s="18"/>
    </row>
    <row r="9" spans="1:11" s="5" customFormat="1" ht="19.5" customHeight="1" x14ac:dyDescent="0.25">
      <c r="A9" s="15"/>
      <c r="B9" s="11">
        <f t="array" aca="1" ref="B9:H9" ca="1">DaysAndWeeks+DATE(CalendarYear,1,1)-WEEKDAY(DATE(CalendarYear,1,1),(WeekStart="Lunes")+1)+22</f>
        <v>44213</v>
      </c>
      <c r="C9" s="11">
        <f ca="1"/>
        <v>44214</v>
      </c>
      <c r="D9" s="11">
        <f ca="1"/>
        <v>44215</v>
      </c>
      <c r="E9" s="11">
        <f ca="1"/>
        <v>44216</v>
      </c>
      <c r="F9" s="11">
        <f ca="1"/>
        <v>44217</v>
      </c>
      <c r="G9" s="11">
        <f ca="1"/>
        <v>44218</v>
      </c>
      <c r="H9" s="11">
        <f ca="1"/>
        <v>44219</v>
      </c>
    </row>
    <row r="10" spans="1:11" s="9" customFormat="1" ht="57.95" customHeight="1" x14ac:dyDescent="0.25">
      <c r="A10" s="15"/>
      <c r="C10" s="25" t="s">
        <v>69</v>
      </c>
      <c r="D10" s="25" t="s">
        <v>68</v>
      </c>
      <c r="E10" s="25" t="s">
        <v>71</v>
      </c>
      <c r="F10" s="25" t="s">
        <v>70</v>
      </c>
      <c r="G10" s="25" t="s">
        <v>72</v>
      </c>
      <c r="H10" s="24"/>
    </row>
    <row r="11" spans="1:11" s="5" customFormat="1" ht="19.5" customHeight="1" x14ac:dyDescent="0.25">
      <c r="A11" s="15"/>
      <c r="B11" s="8">
        <f t="array" aca="1" ref="B11:H11" ca="1">DaysAndWeeks+DATE(CalendarYear,1,1)-WEEKDAY(DATE(CalendarYear,1,1),(WeekStart="Lunes")+1)+29</f>
        <v>44220</v>
      </c>
      <c r="C11" s="8">
        <f ca="1"/>
        <v>44221</v>
      </c>
      <c r="D11" s="8">
        <f ca="1"/>
        <v>44222</v>
      </c>
      <c r="E11" s="8">
        <f ca="1"/>
        <v>44223</v>
      </c>
      <c r="F11" s="8">
        <f ca="1"/>
        <v>44224</v>
      </c>
      <c r="G11" s="8">
        <f ca="1"/>
        <v>44225</v>
      </c>
      <c r="H11" s="8">
        <f ca="1"/>
        <v>44226</v>
      </c>
    </row>
    <row r="12" spans="1:11" s="9" customFormat="1" ht="57.95" customHeight="1" x14ac:dyDescent="0.25">
      <c r="A12" s="15"/>
      <c r="B12" s="18"/>
      <c r="C12" s="26" t="s">
        <v>73</v>
      </c>
      <c r="D12" s="26" t="s">
        <v>74</v>
      </c>
      <c r="E12" s="26" t="s">
        <v>75</v>
      </c>
      <c r="F12" s="26" t="s">
        <v>76</v>
      </c>
      <c r="G12" s="26" t="s">
        <v>77</v>
      </c>
      <c r="H12" s="18"/>
    </row>
    <row r="13" spans="1:11" s="5" customFormat="1" ht="19.5" customHeight="1" x14ac:dyDescent="0.25">
      <c r="A13" s="15"/>
      <c r="B13" s="11">
        <f t="array" aca="1" ref="B13:C13" ca="1">DaysAndWeeks+DATE(CalendarYear,1,1)-WEEKDAY(DATE(CalendarYear,1,1),(WeekStart="Lunes")+1)+36</f>
        <v>44227</v>
      </c>
      <c r="C13" s="11">
        <f ca="1"/>
        <v>44228</v>
      </c>
      <c r="D13" s="37" t="s">
        <v>0</v>
      </c>
      <c r="E13" s="38"/>
      <c r="F13" s="38"/>
      <c r="G13" s="38"/>
      <c r="H13" s="38"/>
    </row>
    <row r="14" spans="1:11" s="9" customFormat="1" ht="57.95" customHeight="1" x14ac:dyDescent="0.25">
      <c r="A14" s="15"/>
      <c r="B14" s="24"/>
      <c r="C14" s="24"/>
      <c r="D14" s="37"/>
      <c r="E14" s="38"/>
      <c r="F14" s="38"/>
      <c r="G14" s="38"/>
      <c r="H14" s="38"/>
    </row>
  </sheetData>
  <mergeCells count="2">
    <mergeCell ref="D13:D14"/>
    <mergeCell ref="E13:H14"/>
  </mergeCells>
  <phoneticPr fontId="1" type="noConversion"/>
  <conditionalFormatting sqref="B11:H11 B13:C13">
    <cfRule type="expression" dxfId="23" priority="24">
      <formula>AND(DAY(B11)&gt;=1,DAY(B11)&lt;=15)</formula>
    </cfRule>
  </conditionalFormatting>
  <conditionalFormatting sqref="B3:G3">
    <cfRule type="expression" dxfId="22" priority="23">
      <formula>DAY(B3)&gt;8</formula>
    </cfRule>
  </conditionalFormatting>
  <dataValidations count="14">
    <dataValidation type="list" errorStyle="warning" allowBlank="1" showInputMessage="1" showErrorMessage="1" error="Seleccione un día de la lista. Seleccione CANCELAR y presione ALT+FLECHA ABAJO para elegir un día de la lista desplegable." prompt="Escriba el día de inicio de la semana en esta celda. Presione ALT+FLECHA ABAJO para abrir la lista desplegable y luego, ENTRAR para seleccionar el día de inicio de la semana." sqref="K3">
      <formula1>"DOMINGO,LUNES"</formula1>
    </dataValidation>
    <dataValidation allowBlank="1" showInputMessage="1" showErrorMessage="1" prompt="Cree calendarios personalizados de un mes en este libro. Personalice el año y el día de inicio de la semana de todos los meses con esta hoja de cálculo de enero. Cada mes se encuentra en una hoja de cálculo independiente." sqref="A1"/>
    <dataValidation allowBlank="1" showInputMessage="1" showErrorMessage="1" prompt="El año de esta celda se actualiza automáticamente. Seleccione otro año en la celda K2 para cambiar de año." sqref="C1:D1"/>
    <dataValidation allowBlank="1" showInputMessage="1" showErrorMessage="1" prompt="Escriba el año y seleccione el día de inicio del calendario en las celdas siguientes. Estas celdas de configuración del calendario no se imprimirán." sqref="J1"/>
    <dataValidation allowBlank="1" showInputMessage="1" showErrorMessage="1" prompt="Escriba el año en la celda a la derecha." sqref="J2"/>
    <dataValidation allowBlank="1" showInputMessage="1" showErrorMessage="1" prompt="Seleccione el día de inicio de la semana en la celda a la derecha." sqref="J3"/>
    <dataValidation allowBlank="1" showInputMessage="1" showErrorMessage="1" prompt="Escriba el año en esta celda." sqref="K2"/>
    <dataValidation allowBlank="1" showInputMessage="1" showErrorMessage="1" prompt="Esta fila contiene los nombres de los días laborables de este calendario. Esta celda contiene el día de inicio de la semana. Para cambiar el día de inicio, escriba un nuevo día laborable en la celda K3." sqref="B2"/>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l año de esta celda se actualiza automáticamente según el año especificado en la celda K2. El calendario siguiente incluye fechas de los meses anterior y posterior con un sombreado de fuente más claro." sqref="B1"/>
    <dataValidation allowBlank="1" showInputMessage="1" showErrorMessage="1" prompt="El día laborable se determinará    _x000a_automáticamente." sqref="C2:H2"/>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scriba notas en esta celda." sqref="E13:H14"/>
    <dataValidation allowBlank="1" showInputMessage="1" showErrorMessage="1" prompt="Escriba notas en la celda a la derecha." sqref="D13:D14"/>
  </dataValidations>
  <printOptions horizontalCentered="1" verticalCentered="1"/>
  <pageMargins left="0.7" right="0.7" top="0.75" bottom="0.75" header="0.3" footer="0.3"/>
  <pageSetup paperSize="9" orientation="landscape" r:id="rId1"/>
  <headerFooter differentFirst="1" alignWithMargins="0">
    <oddFooter>Page &amp;P of &amp;N</oddFooter>
  </headerFooter>
  <customProperties>
    <customPr name="SheetChange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249977111117893"/>
    <pageSetUpPr fitToPage="1"/>
  </sheetPr>
  <dimension ref="A1:H14"/>
  <sheetViews>
    <sheetView showGridLines="0" workbookViewId="0">
      <selection activeCell="G10" sqref="G10"/>
    </sheetView>
  </sheetViews>
  <sheetFormatPr baseColWidth="10" defaultColWidth="8.75" defaultRowHeight="15" x14ac:dyDescent="0.25"/>
  <cols>
    <col min="1" max="1" width="2.625" style="15" customWidth="1"/>
    <col min="2" max="2" width="18.25" customWidth="1"/>
    <col min="3" max="8" width="17.625" customWidth="1"/>
    <col min="9" max="9" width="2.625" customWidth="1"/>
    <col min="10" max="10" width="12" customWidth="1"/>
  </cols>
  <sheetData>
    <row r="1" spans="1:8" s="1" customFormat="1" ht="59.25" customHeight="1" x14ac:dyDescent="0.25">
      <c r="A1" s="15"/>
      <c r="B1" s="17" t="str">
        <f ca="1">"Febrero "&amp;CalendarYear</f>
        <v>Febrero 2021</v>
      </c>
      <c r="C1" s="17"/>
      <c r="D1" s="17"/>
      <c r="E1" s="3"/>
      <c r="F1" s="3"/>
      <c r="G1" s="3"/>
      <c r="H1" s="4"/>
    </row>
    <row r="2" spans="1:8" s="2" customFormat="1" ht="21.75" customHeight="1" thickBot="1" x14ac:dyDescent="0.3">
      <c r="A2" s="15"/>
      <c r="B2" s="13" t="str">
        <f>IF(WeekStart="DOMINGO", "DOMINGO","LUNES")</f>
        <v>DOMINGO</v>
      </c>
      <c r="C2" s="13" t="str">
        <f t="shared" ref="C2:H2" ca="1" si="0">UPPER(TEXT(C3,"dddd"))</f>
        <v>LUNES</v>
      </c>
      <c r="D2" s="13" t="str">
        <f t="shared" ca="1" si="0"/>
        <v>MARTES</v>
      </c>
      <c r="E2" s="13" t="str">
        <f t="shared" ca="1" si="0"/>
        <v>MIÉRCOLES</v>
      </c>
      <c r="F2" s="13" t="str">
        <f t="shared" ca="1" si="0"/>
        <v>JUEVES</v>
      </c>
      <c r="G2" s="13" t="str">
        <f t="shared" ca="1" si="0"/>
        <v>VIERNES</v>
      </c>
      <c r="H2" s="13" t="str">
        <f t="shared" ca="1" si="0"/>
        <v>SÁBADO</v>
      </c>
    </row>
    <row r="3" spans="1:8" s="5" customFormat="1" ht="19.5" customHeight="1" x14ac:dyDescent="0.25">
      <c r="A3" s="15"/>
      <c r="B3" s="8">
        <f t="array" aca="1" ref="B3:H3" ca="1">DaysAndWeeks+DATE(CalendarYear,2,1)-WEEKDAY(DATE(CalendarYear,2,1),(WeekStart="Lunes")+1)+1</f>
        <v>44227</v>
      </c>
      <c r="C3" s="8">
        <f ca="1"/>
        <v>44228</v>
      </c>
      <c r="D3" s="8">
        <f ca="1"/>
        <v>44229</v>
      </c>
      <c r="E3" s="8">
        <f ca="1"/>
        <v>44230</v>
      </c>
      <c r="F3" s="8">
        <f ca="1"/>
        <v>44231</v>
      </c>
      <c r="G3" s="8">
        <f ca="1"/>
        <v>44232</v>
      </c>
      <c r="H3" s="8">
        <f ca="1"/>
        <v>44233</v>
      </c>
    </row>
    <row r="4" spans="1:8" ht="57.95" customHeight="1" x14ac:dyDescent="0.25">
      <c r="B4" s="15"/>
      <c r="C4" s="26" t="s">
        <v>78</v>
      </c>
      <c r="D4" s="26" t="s">
        <v>79</v>
      </c>
      <c r="E4" s="26" t="s">
        <v>80</v>
      </c>
      <c r="F4" s="26" t="s">
        <v>81</v>
      </c>
      <c r="G4" s="26" t="s">
        <v>82</v>
      </c>
      <c r="H4" s="15"/>
    </row>
    <row r="5" spans="1:8" s="5" customFormat="1" ht="19.5" customHeight="1" x14ac:dyDescent="0.25">
      <c r="A5" s="15"/>
      <c r="B5" s="16">
        <f t="array" aca="1" ref="B5:H5" ca="1">DaysAndWeeks+DATE(CalendarYear,2,1)-WEEKDAY(DATE(CalendarYear,2,1),(WeekStart="Lunes")+1)+8</f>
        <v>44234</v>
      </c>
      <c r="C5" s="16">
        <f ca="1"/>
        <v>44235</v>
      </c>
      <c r="D5" s="16">
        <f ca="1"/>
        <v>44236</v>
      </c>
      <c r="E5" s="16">
        <f ca="1"/>
        <v>44237</v>
      </c>
      <c r="F5" s="16">
        <f ca="1"/>
        <v>44238</v>
      </c>
      <c r="G5" s="16">
        <f ca="1"/>
        <v>44239</v>
      </c>
      <c r="H5" s="16">
        <f ca="1"/>
        <v>44240</v>
      </c>
    </row>
    <row r="6" spans="1:8" ht="57.95" customHeight="1" x14ac:dyDescent="0.25">
      <c r="B6" s="24"/>
      <c r="C6" s="25" t="s">
        <v>83</v>
      </c>
      <c r="D6" s="25" t="s">
        <v>84</v>
      </c>
      <c r="E6" s="25" t="s">
        <v>85</v>
      </c>
      <c r="F6" s="25" t="s">
        <v>86</v>
      </c>
      <c r="G6" s="25" t="s">
        <v>87</v>
      </c>
      <c r="H6" s="24"/>
    </row>
    <row r="7" spans="1:8" s="5" customFormat="1" ht="19.5" customHeight="1" x14ac:dyDescent="0.25">
      <c r="A7" s="15"/>
      <c r="B7" s="8">
        <f t="array" aca="1" ref="B7:H7" ca="1">DaysAndWeeks+DATE(CalendarYear,2,1)-WEEKDAY(DATE(CalendarYear,2,1),(WeekStart="Lunes")+1)+15</f>
        <v>44241</v>
      </c>
      <c r="C7" s="8">
        <f ca="1"/>
        <v>44242</v>
      </c>
      <c r="D7" s="8">
        <f ca="1"/>
        <v>44243</v>
      </c>
      <c r="E7" s="8">
        <f ca="1"/>
        <v>44244</v>
      </c>
      <c r="F7" s="8">
        <f ca="1"/>
        <v>44245</v>
      </c>
      <c r="G7" s="8">
        <f ca="1"/>
        <v>44246</v>
      </c>
      <c r="H7" s="8">
        <f ca="1"/>
        <v>44247</v>
      </c>
    </row>
    <row r="8" spans="1:8" ht="57.95" customHeight="1" x14ac:dyDescent="0.25">
      <c r="B8" s="15"/>
      <c r="C8" s="26" t="s">
        <v>88</v>
      </c>
      <c r="D8" s="26" t="s">
        <v>89</v>
      </c>
      <c r="E8" s="26" t="s">
        <v>90</v>
      </c>
      <c r="F8" s="26" t="s">
        <v>91</v>
      </c>
      <c r="G8" s="26" t="s">
        <v>92</v>
      </c>
      <c r="H8" s="15"/>
    </row>
    <row r="9" spans="1:8" s="5" customFormat="1" ht="19.5" customHeight="1" x14ac:dyDescent="0.25">
      <c r="A9" s="15"/>
      <c r="B9" s="16">
        <f t="array" aca="1" ref="B9:H9" ca="1">DaysAndWeeks+DATE(CalendarYear,2,1)-WEEKDAY(DATE(CalendarYear,2,1),(WeekStart="Lunes")+1)+22</f>
        <v>44248</v>
      </c>
      <c r="C9" s="16">
        <f ca="1"/>
        <v>44249</v>
      </c>
      <c r="D9" s="16">
        <f ca="1"/>
        <v>44250</v>
      </c>
      <c r="E9" s="16">
        <f ca="1"/>
        <v>44251</v>
      </c>
      <c r="F9" s="16">
        <f ca="1"/>
        <v>44252</v>
      </c>
      <c r="G9" s="16">
        <f ca="1"/>
        <v>44253</v>
      </c>
      <c r="H9" s="16">
        <f ca="1"/>
        <v>44254</v>
      </c>
    </row>
    <row r="10" spans="1:8" ht="57.95" customHeight="1" x14ac:dyDescent="0.25">
      <c r="B10" s="24"/>
      <c r="C10" s="25" t="s">
        <v>93</v>
      </c>
      <c r="D10" s="25" t="s">
        <v>94</v>
      </c>
      <c r="E10" s="25" t="s">
        <v>95</v>
      </c>
      <c r="F10" s="25" t="s">
        <v>96</v>
      </c>
      <c r="G10" s="25" t="s">
        <v>104</v>
      </c>
      <c r="H10" s="24"/>
    </row>
    <row r="11" spans="1:8" s="5" customFormat="1" ht="19.5" customHeight="1" x14ac:dyDescent="0.25">
      <c r="A11" s="15"/>
      <c r="B11" s="8">
        <f t="array" aca="1" ref="B11:H11" ca="1">DaysAndWeeks+DATE(CalendarYear,2,1)-WEEKDAY(DATE(CalendarYear,2,1),(WeekStart="Lunes")+1)+29</f>
        <v>44255</v>
      </c>
      <c r="C11" s="8">
        <f ca="1"/>
        <v>44256</v>
      </c>
      <c r="D11" s="8">
        <f ca="1"/>
        <v>44257</v>
      </c>
      <c r="E11" s="8">
        <f ca="1"/>
        <v>44258</v>
      </c>
      <c r="F11" s="8">
        <f ca="1"/>
        <v>44259</v>
      </c>
      <c r="G11" s="8">
        <f ca="1"/>
        <v>44260</v>
      </c>
      <c r="H11" s="8">
        <f ca="1"/>
        <v>44261</v>
      </c>
    </row>
    <row r="12" spans="1:8" ht="57.95" customHeight="1" x14ac:dyDescent="0.25">
      <c r="B12" s="15"/>
      <c r="C12" s="15"/>
      <c r="D12" s="15"/>
      <c r="E12" s="15"/>
      <c r="F12" s="15"/>
      <c r="G12" s="15"/>
      <c r="H12" s="15"/>
    </row>
    <row r="13" spans="1:8" s="5" customFormat="1" ht="19.5" customHeight="1" x14ac:dyDescent="0.25">
      <c r="A13" s="15"/>
      <c r="B13" s="16">
        <f t="array" aca="1" ref="B13:C13" ca="1">DaysAndWeeks+DATE(CalendarYear,2,1)-WEEKDAY(DATE(CalendarYear,2,1),(WeekStart="Lunes")+1)+36</f>
        <v>44262</v>
      </c>
      <c r="C13" s="16">
        <f ca="1"/>
        <v>44263</v>
      </c>
      <c r="D13" s="37" t="s">
        <v>0</v>
      </c>
      <c r="E13" s="38"/>
      <c r="F13" s="38"/>
      <c r="G13" s="38"/>
      <c r="H13" s="38"/>
    </row>
    <row r="14" spans="1:8" ht="57.95" customHeight="1" x14ac:dyDescent="0.25">
      <c r="B14" s="24"/>
      <c r="C14" s="24"/>
      <c r="D14" s="37"/>
      <c r="E14" s="38"/>
      <c r="F14" s="38"/>
      <c r="G14" s="38"/>
      <c r="H14" s="38"/>
    </row>
  </sheetData>
  <mergeCells count="2">
    <mergeCell ref="D13:D14"/>
    <mergeCell ref="E13:H14"/>
  </mergeCells>
  <conditionalFormatting sqref="B11:H11 B13:C13">
    <cfRule type="expression" dxfId="21" priority="2">
      <formula>AND(DAY(B11)&gt;=1,DAY(B11)&lt;=15)</formula>
    </cfRule>
  </conditionalFormatting>
  <conditionalFormatting sqref="B3:G3">
    <cfRule type="expression" dxfId="20"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febrero"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4"/>
    <pageSetUpPr fitToPage="1"/>
  </sheetPr>
  <dimension ref="A1:H14"/>
  <sheetViews>
    <sheetView showGridLines="0" workbookViewId="0">
      <selection activeCell="H12" sqref="H12"/>
    </sheetView>
  </sheetViews>
  <sheetFormatPr baseColWidth="10" defaultColWidth="8.75" defaultRowHeight="15" x14ac:dyDescent="0.25"/>
  <cols>
    <col min="1" max="1" width="2.625" customWidth="1"/>
    <col min="2" max="2" width="18.25" customWidth="1"/>
    <col min="3" max="8" width="17.625" customWidth="1"/>
    <col min="9" max="9" width="2.625" customWidth="1"/>
    <col min="10" max="10" width="12" customWidth="1"/>
  </cols>
  <sheetData>
    <row r="1" spans="1:8" ht="59.25" customHeight="1" x14ac:dyDescent="0.25">
      <c r="A1" s="18"/>
      <c r="B1" s="17" t="str">
        <f ca="1">"Marzo "&amp;CalendarYear</f>
        <v>Marzo 2021</v>
      </c>
      <c r="C1" s="17"/>
      <c r="D1" s="17"/>
      <c r="E1" s="3"/>
      <c r="F1" s="3"/>
      <c r="G1" s="3"/>
      <c r="H1" s="4"/>
    </row>
    <row r="2" spans="1:8" ht="21.75" customHeight="1" thickBot="1" x14ac:dyDescent="0.3">
      <c r="A2" s="18"/>
      <c r="B2" s="13" t="str">
        <f>IF(WeekStart="DOMINGO", "DOMINGO","LUNES")</f>
        <v>DOMINGO</v>
      </c>
      <c r="C2" s="13" t="str">
        <f t="shared" ref="C2:H2" ca="1" si="0">UPPER(TEXT(C3,"dddd"))</f>
        <v>LUNES</v>
      </c>
      <c r="D2" s="13" t="str">
        <f t="shared" ca="1" si="0"/>
        <v>MARTES</v>
      </c>
      <c r="E2" s="13" t="str">
        <f t="shared" ca="1" si="0"/>
        <v>MIÉRCOLES</v>
      </c>
      <c r="F2" s="13" t="str">
        <f t="shared" ca="1" si="0"/>
        <v>JUEVES</v>
      </c>
      <c r="G2" s="13" t="str">
        <f t="shared" ca="1" si="0"/>
        <v>VIERNES</v>
      </c>
      <c r="H2" s="13" t="str">
        <f t="shared" ca="1" si="0"/>
        <v>SÁBADO</v>
      </c>
    </row>
    <row r="3" spans="1:8" ht="19.5" customHeight="1" x14ac:dyDescent="0.25">
      <c r="A3" s="18"/>
      <c r="B3" s="8">
        <f t="array" aca="1" ref="B3:H3" ca="1">DaysAndWeeks+DATE(CalendarYear,3,1)-WEEKDAY(DATE(CalendarYear,3,1),(WeekStart="Lunes")+1)+1</f>
        <v>44255</v>
      </c>
      <c r="C3" s="8">
        <f ca="1"/>
        <v>44256</v>
      </c>
      <c r="D3" s="8">
        <f ca="1"/>
        <v>44257</v>
      </c>
      <c r="E3" s="8">
        <f ca="1"/>
        <v>44258</v>
      </c>
      <c r="F3" s="8">
        <f ca="1"/>
        <v>44259</v>
      </c>
      <c r="G3" s="8">
        <f ca="1"/>
        <v>44260</v>
      </c>
      <c r="H3" s="8">
        <f ca="1"/>
        <v>44261</v>
      </c>
    </row>
    <row r="4" spans="1:8" ht="57.95" customHeight="1" x14ac:dyDescent="0.25">
      <c r="A4" s="18"/>
      <c r="B4" s="18"/>
      <c r="C4" s="18" t="s">
        <v>13</v>
      </c>
      <c r="D4" s="26" t="s">
        <v>97</v>
      </c>
      <c r="E4" s="26" t="s">
        <v>98</v>
      </c>
      <c r="F4" s="26" t="s">
        <v>99</v>
      </c>
      <c r="G4" s="26" t="s">
        <v>100</v>
      </c>
      <c r="H4" s="18"/>
    </row>
    <row r="5" spans="1:8" ht="19.5" customHeight="1" x14ac:dyDescent="0.25">
      <c r="A5" s="18"/>
      <c r="B5" s="16">
        <f t="array" aca="1" ref="B5:H5" ca="1">DaysAndWeeks+DATE(CalendarYear,3,1)-WEEKDAY(DATE(CalendarYear,3,1),(WeekStart="Lunes")+1)+8</f>
        <v>44262</v>
      </c>
      <c r="C5" s="16">
        <f ca="1"/>
        <v>44263</v>
      </c>
      <c r="D5" s="16">
        <f ca="1"/>
        <v>44264</v>
      </c>
      <c r="E5" s="16">
        <f ca="1"/>
        <v>44265</v>
      </c>
      <c r="F5" s="16">
        <f ca="1"/>
        <v>44266</v>
      </c>
      <c r="G5" s="16">
        <f ca="1"/>
        <v>44267</v>
      </c>
      <c r="H5" s="16">
        <f ca="1"/>
        <v>44268</v>
      </c>
    </row>
    <row r="6" spans="1:8" ht="57.95" customHeight="1" x14ac:dyDescent="0.25">
      <c r="A6" s="18"/>
      <c r="B6" s="24"/>
      <c r="C6" s="25" t="s">
        <v>101</v>
      </c>
      <c r="D6" s="25" t="s">
        <v>102</v>
      </c>
      <c r="E6" s="25" t="s">
        <v>103</v>
      </c>
      <c r="F6" s="25" t="s">
        <v>105</v>
      </c>
      <c r="G6" s="25" t="s">
        <v>106</v>
      </c>
      <c r="H6" s="24"/>
    </row>
    <row r="7" spans="1:8" ht="19.5" customHeight="1" x14ac:dyDescent="0.25">
      <c r="A7" s="18"/>
      <c r="B7" s="8">
        <f t="array" aca="1" ref="B7:H7" ca="1">DaysAndWeeks+DATE(CalendarYear,3,1)-WEEKDAY(DATE(CalendarYear,3,1),(WeekStart="Lunes")+1)+15</f>
        <v>44269</v>
      </c>
      <c r="C7" s="8">
        <f ca="1"/>
        <v>44270</v>
      </c>
      <c r="D7" s="8">
        <f ca="1"/>
        <v>44271</v>
      </c>
      <c r="E7" s="8">
        <f ca="1"/>
        <v>44272</v>
      </c>
      <c r="F7" s="8">
        <f ca="1"/>
        <v>44273</v>
      </c>
      <c r="G7" s="8">
        <f ca="1"/>
        <v>44274</v>
      </c>
      <c r="H7" s="8">
        <f ca="1"/>
        <v>44275</v>
      </c>
    </row>
    <row r="8" spans="1:8" ht="57.95" customHeight="1" x14ac:dyDescent="0.25">
      <c r="A8" s="18"/>
      <c r="B8" s="18"/>
      <c r="C8" s="26" t="s">
        <v>108</v>
      </c>
      <c r="D8" s="26" t="s">
        <v>109</v>
      </c>
      <c r="E8" s="26" t="s">
        <v>107</v>
      </c>
      <c r="F8" s="26" t="s">
        <v>110</v>
      </c>
      <c r="G8" s="26" t="s">
        <v>111</v>
      </c>
      <c r="H8" s="18"/>
    </row>
    <row r="9" spans="1:8" ht="19.5" customHeight="1" x14ac:dyDescent="0.25">
      <c r="A9" s="18"/>
      <c r="B9" s="16">
        <f t="array" aca="1" ref="B9:H9" ca="1">DaysAndWeeks+DATE(CalendarYear,3,1)-WEEKDAY(DATE(CalendarYear,3,1),(WeekStart="Lunes")+1)+22</f>
        <v>44276</v>
      </c>
      <c r="C9" s="16">
        <f ca="1"/>
        <v>44277</v>
      </c>
      <c r="D9" s="16">
        <f ca="1"/>
        <v>44278</v>
      </c>
      <c r="E9" s="16">
        <f ca="1"/>
        <v>44279</v>
      </c>
      <c r="F9" s="16">
        <f ca="1"/>
        <v>44280</v>
      </c>
      <c r="G9" s="16">
        <f ca="1"/>
        <v>44281</v>
      </c>
      <c r="H9" s="16">
        <f ca="1"/>
        <v>44282</v>
      </c>
    </row>
    <row r="10" spans="1:8" ht="57.95" customHeight="1" x14ac:dyDescent="0.25">
      <c r="A10" s="18"/>
      <c r="B10" s="24"/>
      <c r="C10" s="25" t="s">
        <v>113</v>
      </c>
      <c r="D10" s="25" t="s">
        <v>114</v>
      </c>
      <c r="E10" s="25" t="s">
        <v>115</v>
      </c>
      <c r="F10" s="25" t="s">
        <v>116</v>
      </c>
      <c r="G10" s="25" t="s">
        <v>117</v>
      </c>
      <c r="H10" s="24"/>
    </row>
    <row r="11" spans="1:8" ht="19.5" customHeight="1" x14ac:dyDescent="0.25">
      <c r="A11" s="18"/>
      <c r="B11" s="8">
        <f t="array" aca="1" ref="B11:H11" ca="1">DaysAndWeeks+DATE(CalendarYear,3,1)-WEEKDAY(DATE(CalendarYear,3,1),(WeekStart="Lunes")+1)+29</f>
        <v>44283</v>
      </c>
      <c r="C11" s="8">
        <f ca="1"/>
        <v>44284</v>
      </c>
      <c r="D11" s="8">
        <f ca="1"/>
        <v>44285</v>
      </c>
      <c r="E11" s="8">
        <f ca="1"/>
        <v>44286</v>
      </c>
      <c r="F11" s="8">
        <f ca="1"/>
        <v>44287</v>
      </c>
      <c r="G11" s="8">
        <f ca="1"/>
        <v>44288</v>
      </c>
      <c r="H11" s="8">
        <f ca="1"/>
        <v>44289</v>
      </c>
    </row>
    <row r="12" spans="1:8" ht="57.95" customHeight="1" x14ac:dyDescent="0.25">
      <c r="A12" s="18"/>
      <c r="B12" s="18"/>
      <c r="C12" s="18" t="s">
        <v>112</v>
      </c>
      <c r="D12" s="18" t="s">
        <v>112</v>
      </c>
      <c r="E12" s="18" t="s">
        <v>112</v>
      </c>
      <c r="F12" s="18" t="s">
        <v>13</v>
      </c>
      <c r="G12" s="18" t="s">
        <v>13</v>
      </c>
      <c r="H12" s="18"/>
    </row>
    <row r="13" spans="1:8" ht="19.5" customHeight="1" x14ac:dyDescent="0.25">
      <c r="A13" s="18"/>
      <c r="B13" s="16">
        <f t="array" aca="1" ref="B13:C13" ca="1">DaysAndWeeks+DATE(CalendarYear,3,1)-WEEKDAY(DATE(CalendarYear,3,1),(WeekStart="Lunes")+1)+36</f>
        <v>44290</v>
      </c>
      <c r="C13" s="16">
        <f ca="1"/>
        <v>44291</v>
      </c>
      <c r="D13" s="37" t="s">
        <v>0</v>
      </c>
      <c r="E13" s="38"/>
      <c r="F13" s="38"/>
      <c r="G13" s="38"/>
      <c r="H13" s="38"/>
    </row>
    <row r="14" spans="1:8" ht="57.95" customHeight="1" x14ac:dyDescent="0.25">
      <c r="A14" s="18"/>
      <c r="B14" s="24"/>
      <c r="C14" s="24"/>
      <c r="D14" s="37"/>
      <c r="E14" s="38"/>
      <c r="F14" s="38"/>
      <c r="G14" s="38"/>
      <c r="H14" s="38"/>
    </row>
  </sheetData>
  <mergeCells count="2">
    <mergeCell ref="D13:D14"/>
    <mergeCell ref="E13:H14"/>
  </mergeCells>
  <conditionalFormatting sqref="B11:H11 B13:C13">
    <cfRule type="expression" dxfId="19" priority="2">
      <formula>AND(DAY(B11)&gt;=1,DAY(B11)&lt;=15)</formula>
    </cfRule>
  </conditionalFormatting>
  <conditionalFormatting sqref="B3:G3">
    <cfRule type="expression" dxfId="18" priority="1">
      <formula>DAY(B3)&gt;8</formula>
    </cfRule>
  </conditionalFormatting>
  <dataValidations count="10">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scriba notas en esta celda." sqref="E13:H14"/>
    <dataValidation allowBlank="1" showInputMessage="1" showErrorMessage="1" prompt="Escriba notas en la celda a la derecha." sqref="D13:D14"/>
    <dataValidation allowBlank="1" showInputMessage="1" showErrorMessage="1" prompt="Calendario del mes de marzo" sqref="A1"/>
    <dataValidation allowBlank="1" showInputMessage="1" showErrorMessage="1" prompt="El año de esta celda se actualiza automáticamente. Seleccione otro año en la celda K2 para cambiar de año." sqref="C1:D1"/>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l día laborable se determinará    _x000a_automáticamente." sqref="H2"/>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4" tint="0.39997558519241921"/>
    <pageSetUpPr fitToPage="1"/>
  </sheetPr>
  <dimension ref="A1:H14"/>
  <sheetViews>
    <sheetView showGridLines="0" workbookViewId="0">
      <selection activeCell="G12" sqref="G12"/>
    </sheetView>
  </sheetViews>
  <sheetFormatPr baseColWidth="10" defaultColWidth="8.75" defaultRowHeight="15" x14ac:dyDescent="0.25"/>
  <cols>
    <col min="1" max="1" width="2.625" customWidth="1"/>
    <col min="2" max="2" width="18.25" customWidth="1"/>
    <col min="3" max="8" width="17.625" customWidth="1"/>
    <col min="9" max="9" width="2.625" customWidth="1"/>
    <col min="10" max="10" width="12" customWidth="1"/>
  </cols>
  <sheetData>
    <row r="1" spans="1:8" ht="59.25" customHeight="1" x14ac:dyDescent="0.25">
      <c r="A1" s="18"/>
      <c r="B1" s="17" t="str">
        <f ca="1">"Abril "&amp;CalendarYear</f>
        <v>Abril 2021</v>
      </c>
      <c r="C1" s="17"/>
      <c r="D1" s="17"/>
      <c r="E1" s="3"/>
      <c r="F1" s="3"/>
      <c r="G1" s="3"/>
      <c r="H1" s="4"/>
    </row>
    <row r="2" spans="1:8" ht="21.75" customHeight="1" thickBot="1" x14ac:dyDescent="0.3">
      <c r="A2" s="18"/>
      <c r="B2" s="13" t="str">
        <f>IF(WeekStart="DOMINGO", "DOMINGO","LUNES")</f>
        <v>DOMINGO</v>
      </c>
      <c r="C2" s="13" t="str">
        <f t="shared" ref="C2:H2" ca="1" si="0">UPPER(TEXT(C3,"dddd"))</f>
        <v>LUNES</v>
      </c>
      <c r="D2" s="13" t="str">
        <f t="shared" ca="1" si="0"/>
        <v>MARTES</v>
      </c>
      <c r="E2" s="13" t="str">
        <f t="shared" ca="1" si="0"/>
        <v>MIÉRCOLES</v>
      </c>
      <c r="F2" s="13" t="str">
        <f t="shared" ca="1" si="0"/>
        <v>JUEVES</v>
      </c>
      <c r="G2" s="13" t="str">
        <f t="shared" ca="1" si="0"/>
        <v>VIERNES</v>
      </c>
      <c r="H2" s="13" t="str">
        <f t="shared" ca="1" si="0"/>
        <v>SÁBADO</v>
      </c>
    </row>
    <row r="3" spans="1:8" ht="19.5" customHeight="1" x14ac:dyDescent="0.25">
      <c r="A3" s="18"/>
      <c r="B3" s="8">
        <f t="array" aca="1" ref="B3:H3" ca="1">DaysAndWeeks+DATE(CalendarYear,4,1)-WEEKDAY(DATE(CalendarYear,4,1),(WeekStart="Lunes")+1)+1</f>
        <v>44283</v>
      </c>
      <c r="C3" s="8">
        <f ca="1"/>
        <v>44284</v>
      </c>
      <c r="D3" s="8">
        <f ca="1"/>
        <v>44285</v>
      </c>
      <c r="E3" s="8">
        <f ca="1"/>
        <v>44286</v>
      </c>
      <c r="F3" s="8">
        <f ca="1"/>
        <v>44287</v>
      </c>
      <c r="G3" s="8">
        <f ca="1"/>
        <v>44288</v>
      </c>
      <c r="H3" s="8">
        <f ca="1"/>
        <v>44289</v>
      </c>
    </row>
    <row r="4" spans="1:8" ht="57.95" customHeight="1" x14ac:dyDescent="0.25">
      <c r="A4" s="18"/>
      <c r="B4" s="18"/>
      <c r="C4" s="18"/>
      <c r="D4" s="18"/>
      <c r="E4" s="18"/>
      <c r="F4" s="18" t="s">
        <v>112</v>
      </c>
      <c r="G4" s="18"/>
      <c r="H4" s="18"/>
    </row>
    <row r="5" spans="1:8" ht="19.5" customHeight="1" x14ac:dyDescent="0.25">
      <c r="A5" s="18"/>
      <c r="B5" s="16">
        <f t="array" aca="1" ref="B5:H5" ca="1">DaysAndWeeks+DATE(CalendarYear,4,1)-WEEKDAY(DATE(CalendarYear,4,1),(WeekStart="Lunes")+1)+8</f>
        <v>44290</v>
      </c>
      <c r="C5" s="16">
        <f ca="1"/>
        <v>44291</v>
      </c>
      <c r="D5" s="16">
        <f ca="1"/>
        <v>44292</v>
      </c>
      <c r="E5" s="16">
        <f ca="1"/>
        <v>44293</v>
      </c>
      <c r="F5" s="16">
        <f ca="1"/>
        <v>44294</v>
      </c>
      <c r="G5" s="16">
        <f ca="1"/>
        <v>44295</v>
      </c>
      <c r="H5" s="16">
        <f ca="1"/>
        <v>44296</v>
      </c>
    </row>
    <row r="6" spans="1:8" ht="57.95" customHeight="1" x14ac:dyDescent="0.25">
      <c r="A6" s="18"/>
      <c r="B6" s="24"/>
      <c r="C6" s="24" t="s">
        <v>118</v>
      </c>
      <c r="D6" s="25" t="s">
        <v>121</v>
      </c>
      <c r="E6" s="25" t="s">
        <v>120</v>
      </c>
      <c r="F6" s="25" t="s">
        <v>119</v>
      </c>
      <c r="G6" s="32" t="s">
        <v>122</v>
      </c>
      <c r="H6" s="24"/>
    </row>
    <row r="7" spans="1:8" ht="19.5" customHeight="1" x14ac:dyDescent="0.25">
      <c r="A7" s="18"/>
      <c r="B7" s="8">
        <f t="array" aca="1" ref="B7:H7" ca="1">DaysAndWeeks+DATE(CalendarYear,4,1)-WEEKDAY(DATE(CalendarYear,4,1),(WeekStart="Lunes")+1)+15</f>
        <v>44297</v>
      </c>
      <c r="C7" s="8">
        <f ca="1"/>
        <v>44298</v>
      </c>
      <c r="D7" s="8">
        <f ca="1"/>
        <v>44299</v>
      </c>
      <c r="E7" s="8">
        <f ca="1"/>
        <v>44300</v>
      </c>
      <c r="F7" s="8">
        <f ca="1"/>
        <v>44301</v>
      </c>
      <c r="G7" s="8">
        <f ca="1"/>
        <v>44302</v>
      </c>
      <c r="H7" s="8">
        <f ca="1"/>
        <v>44303</v>
      </c>
    </row>
    <row r="8" spans="1:8" ht="57.95" customHeight="1" x14ac:dyDescent="0.25">
      <c r="A8" s="18"/>
      <c r="B8" s="18"/>
      <c r="C8" s="26" t="s">
        <v>123</v>
      </c>
      <c r="D8" s="26" t="s">
        <v>124</v>
      </c>
      <c r="E8" s="26" t="s">
        <v>125</v>
      </c>
      <c r="F8" s="26" t="s">
        <v>126</v>
      </c>
      <c r="G8" s="26" t="s">
        <v>127</v>
      </c>
      <c r="H8" s="18"/>
    </row>
    <row r="9" spans="1:8" ht="19.5" customHeight="1" x14ac:dyDescent="0.25">
      <c r="A9" s="18"/>
      <c r="B9" s="16">
        <f t="array" aca="1" ref="B9:H9" ca="1">DaysAndWeeks+DATE(CalendarYear,4,1)-WEEKDAY(DATE(CalendarYear,4,1),(WeekStart="Lunes")+1)+22</f>
        <v>44304</v>
      </c>
      <c r="C9" s="16">
        <f ca="1"/>
        <v>44305</v>
      </c>
      <c r="D9" s="16">
        <f ca="1"/>
        <v>44306</v>
      </c>
      <c r="E9" s="16">
        <f ca="1"/>
        <v>44307</v>
      </c>
      <c r="F9" s="16">
        <f ca="1"/>
        <v>44308</v>
      </c>
      <c r="G9" s="16">
        <f ca="1"/>
        <v>44309</v>
      </c>
      <c r="H9" s="16">
        <f ca="1"/>
        <v>44310</v>
      </c>
    </row>
    <row r="10" spans="1:8" ht="57.95" customHeight="1" x14ac:dyDescent="0.25">
      <c r="A10" s="18"/>
      <c r="B10" s="24"/>
      <c r="C10" s="25" t="s">
        <v>128</v>
      </c>
      <c r="D10" s="25" t="s">
        <v>129</v>
      </c>
      <c r="E10" s="24" t="s">
        <v>13</v>
      </c>
      <c r="F10" s="25" t="s">
        <v>130</v>
      </c>
      <c r="G10" s="25" t="s">
        <v>131</v>
      </c>
      <c r="H10" s="24"/>
    </row>
    <row r="11" spans="1:8" ht="19.5" customHeight="1" x14ac:dyDescent="0.25">
      <c r="A11" s="18"/>
      <c r="B11" s="8">
        <f t="array" aca="1" ref="B11:H11" ca="1">DaysAndWeeks+DATE(CalendarYear,4,1)-WEEKDAY(DATE(CalendarYear,4,1),(WeekStart="Lunes")+1)+29</f>
        <v>44311</v>
      </c>
      <c r="C11" s="8">
        <f ca="1"/>
        <v>44312</v>
      </c>
      <c r="D11" s="8">
        <f ca="1"/>
        <v>44313</v>
      </c>
      <c r="E11" s="8">
        <f ca="1"/>
        <v>44314</v>
      </c>
      <c r="F11" s="8">
        <f ca="1"/>
        <v>44315</v>
      </c>
      <c r="G11" s="8">
        <f ca="1"/>
        <v>44316</v>
      </c>
      <c r="H11" s="8">
        <f ca="1"/>
        <v>44317</v>
      </c>
    </row>
    <row r="12" spans="1:8" ht="57.95" customHeight="1" x14ac:dyDescent="0.25">
      <c r="A12" s="18"/>
      <c r="B12" s="18"/>
      <c r="C12" s="26" t="s">
        <v>132</v>
      </c>
      <c r="D12" s="26" t="s">
        <v>132</v>
      </c>
      <c r="E12" s="26" t="s">
        <v>133</v>
      </c>
      <c r="F12" s="26" t="s">
        <v>134</v>
      </c>
      <c r="G12" s="26" t="s">
        <v>135</v>
      </c>
      <c r="H12" s="18"/>
    </row>
    <row r="13" spans="1:8" ht="19.5" customHeight="1" x14ac:dyDescent="0.25">
      <c r="A13" s="18"/>
      <c r="B13" s="16">
        <f t="array" aca="1" ref="B13:C13" ca="1">DaysAndWeeks+DATE(CalendarYear,4,1)-WEEKDAY(DATE(CalendarYear,4,1),(WeekStart="Lunes")+1)+36</f>
        <v>44318</v>
      </c>
      <c r="C13" s="16">
        <f ca="1"/>
        <v>44319</v>
      </c>
      <c r="D13" s="37" t="s">
        <v>0</v>
      </c>
      <c r="E13" s="38"/>
      <c r="F13" s="38"/>
      <c r="G13" s="38"/>
      <c r="H13" s="38"/>
    </row>
    <row r="14" spans="1:8" ht="57.95" customHeight="1" x14ac:dyDescent="0.25">
      <c r="A14" s="18"/>
      <c r="B14" s="24"/>
      <c r="C14" s="24"/>
      <c r="D14" s="37"/>
      <c r="E14" s="38"/>
      <c r="F14" s="38"/>
      <c r="G14" s="38"/>
      <c r="H14" s="38"/>
    </row>
  </sheetData>
  <mergeCells count="2">
    <mergeCell ref="D13:D14"/>
    <mergeCell ref="E13:H14"/>
  </mergeCells>
  <conditionalFormatting sqref="B11:H11 B13:C13">
    <cfRule type="expression" dxfId="17" priority="2">
      <formula>AND(DAY(B11)&gt;=1,DAY(B11)&lt;=15)</formula>
    </cfRule>
  </conditionalFormatting>
  <conditionalFormatting sqref="B3:G3">
    <cfRule type="expression" dxfId="16"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abril"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4" tint="0.59999389629810485"/>
    <pageSetUpPr fitToPage="1"/>
  </sheetPr>
  <dimension ref="A1:H14"/>
  <sheetViews>
    <sheetView showGridLines="0" topLeftCell="A4" workbookViewId="0">
      <selection activeCell="C14" sqref="C14"/>
    </sheetView>
  </sheetViews>
  <sheetFormatPr baseColWidth="10" defaultColWidth="8.75" defaultRowHeight="15" x14ac:dyDescent="0.25"/>
  <cols>
    <col min="1" max="1" width="2.625" customWidth="1"/>
    <col min="2" max="2" width="18.25" customWidth="1"/>
    <col min="3" max="8" width="17.625" customWidth="1"/>
    <col min="9" max="9" width="2.625" customWidth="1"/>
    <col min="10" max="10" width="12" customWidth="1"/>
  </cols>
  <sheetData>
    <row r="1" spans="1:8" ht="59.25" customHeight="1" x14ac:dyDescent="0.25">
      <c r="A1" s="18"/>
      <c r="B1" s="17" t="str">
        <f ca="1">"Mayo "&amp;CalendarYear</f>
        <v>Mayo 2021</v>
      </c>
      <c r="C1" s="17"/>
      <c r="D1" s="17"/>
      <c r="E1" s="3"/>
      <c r="F1" s="3"/>
      <c r="G1" s="3"/>
      <c r="H1" s="4"/>
    </row>
    <row r="2" spans="1:8" ht="21.75" customHeight="1" thickBot="1" x14ac:dyDescent="0.3">
      <c r="A2" s="18"/>
      <c r="B2" s="13" t="str">
        <f>IF(WeekStart="DOMINGO", "DOMINGO","LUNES")</f>
        <v>DOMINGO</v>
      </c>
      <c r="C2" s="13" t="str">
        <f t="shared" ref="C2:H2" ca="1" si="0">UPPER(TEXT(C3,"dddd"))</f>
        <v>LUNES</v>
      </c>
      <c r="D2" s="13" t="str">
        <f t="shared" ca="1" si="0"/>
        <v>MARTES</v>
      </c>
      <c r="E2" s="13" t="str">
        <f t="shared" ca="1" si="0"/>
        <v>MIÉRCOLES</v>
      </c>
      <c r="F2" s="13" t="str">
        <f t="shared" ca="1" si="0"/>
        <v>JUEVES</v>
      </c>
      <c r="G2" s="13" t="str">
        <f t="shared" ca="1" si="0"/>
        <v>VIERNES</v>
      </c>
      <c r="H2" s="13" t="str">
        <f t="shared" ca="1" si="0"/>
        <v>SÁBADO</v>
      </c>
    </row>
    <row r="3" spans="1:8" ht="19.5" customHeight="1" x14ac:dyDescent="0.25">
      <c r="A3" s="18"/>
      <c r="B3" s="8">
        <f t="array" aca="1" ref="B3:H3" ca="1">DaysAndWeeks+DATE(CalendarYear,5,1)-WEEKDAY(DATE(CalendarYear,5,1),(WeekStart="Lunes")+1)+1</f>
        <v>44311</v>
      </c>
      <c r="C3" s="8">
        <f ca="1"/>
        <v>44312</v>
      </c>
      <c r="D3" s="8">
        <f ca="1"/>
        <v>44313</v>
      </c>
      <c r="E3" s="8">
        <f ca="1"/>
        <v>44314</v>
      </c>
      <c r="F3" s="8">
        <f ca="1"/>
        <v>44315</v>
      </c>
      <c r="G3" s="8">
        <f ca="1"/>
        <v>44316</v>
      </c>
      <c r="H3" s="8">
        <f ca="1"/>
        <v>44317</v>
      </c>
    </row>
    <row r="4" spans="1:8" ht="57.95" customHeight="1" x14ac:dyDescent="0.25">
      <c r="A4" s="18"/>
      <c r="B4" s="18"/>
      <c r="C4" s="18"/>
      <c r="D4" s="18"/>
      <c r="E4" s="18"/>
      <c r="F4" s="18"/>
      <c r="G4" s="18"/>
      <c r="H4" s="18"/>
    </row>
    <row r="5" spans="1:8" ht="19.5" customHeight="1" x14ac:dyDescent="0.25">
      <c r="A5" s="18"/>
      <c r="B5" s="16">
        <f t="array" aca="1" ref="B5:H5" ca="1">DaysAndWeeks+DATE(CalendarYear,5,1)-WEEKDAY(DATE(CalendarYear,5,1),(WeekStart="Lunes")+1)+8</f>
        <v>44318</v>
      </c>
      <c r="C5" s="16">
        <f ca="1"/>
        <v>44319</v>
      </c>
      <c r="D5" s="16">
        <f ca="1"/>
        <v>44320</v>
      </c>
      <c r="E5" s="16">
        <f ca="1"/>
        <v>44321</v>
      </c>
      <c r="F5" s="16">
        <f ca="1"/>
        <v>44322</v>
      </c>
      <c r="G5" s="16">
        <f ca="1"/>
        <v>44323</v>
      </c>
      <c r="H5" s="16">
        <f ca="1"/>
        <v>44324</v>
      </c>
    </row>
    <row r="6" spans="1:8" ht="57.95" customHeight="1" x14ac:dyDescent="0.25">
      <c r="A6" s="18"/>
      <c r="B6" s="24"/>
      <c r="C6" s="33" t="s">
        <v>136</v>
      </c>
      <c r="D6" s="33" t="s">
        <v>137</v>
      </c>
      <c r="E6" s="33" t="s">
        <v>140</v>
      </c>
      <c r="F6" s="33" t="s">
        <v>138</v>
      </c>
      <c r="G6" s="33" t="s">
        <v>139</v>
      </c>
      <c r="H6" s="24"/>
    </row>
    <row r="7" spans="1:8" ht="19.5" customHeight="1" x14ac:dyDescent="0.25">
      <c r="A7" s="18"/>
      <c r="B7" s="8">
        <f t="array" aca="1" ref="B7:H7" ca="1">DaysAndWeeks+DATE(CalendarYear,5,1)-WEEKDAY(DATE(CalendarYear,5,1),(WeekStart="Lunes")+1)+15</f>
        <v>44325</v>
      </c>
      <c r="C7" s="8">
        <f ca="1"/>
        <v>44326</v>
      </c>
      <c r="D7" s="8">
        <f ca="1"/>
        <v>44327</v>
      </c>
      <c r="E7" s="8">
        <f ca="1"/>
        <v>44328</v>
      </c>
      <c r="F7" s="8">
        <f ca="1"/>
        <v>44329</v>
      </c>
      <c r="G7" s="8">
        <f ca="1"/>
        <v>44330</v>
      </c>
      <c r="H7" s="8">
        <f ca="1"/>
        <v>44331</v>
      </c>
    </row>
    <row r="8" spans="1:8" ht="57.95" customHeight="1" x14ac:dyDescent="0.25">
      <c r="A8" s="18"/>
      <c r="B8" s="18"/>
      <c r="C8" s="34" t="s">
        <v>152</v>
      </c>
      <c r="D8" s="34" t="s">
        <v>153</v>
      </c>
      <c r="E8" s="34" t="s">
        <v>156</v>
      </c>
      <c r="F8" s="34" t="s">
        <v>154</v>
      </c>
      <c r="G8" s="34" t="s">
        <v>155</v>
      </c>
      <c r="H8" s="18"/>
    </row>
    <row r="9" spans="1:8" ht="19.5" customHeight="1" x14ac:dyDescent="0.25">
      <c r="A9" s="18"/>
      <c r="B9" s="16">
        <f t="array" aca="1" ref="B9:H9" ca="1">DaysAndWeeks+DATE(CalendarYear,5,1)-WEEKDAY(DATE(CalendarYear,5,1),(WeekStart="Lunes")+1)+22</f>
        <v>44332</v>
      </c>
      <c r="C9" s="16">
        <f ca="1"/>
        <v>44333</v>
      </c>
      <c r="D9" s="16">
        <f ca="1"/>
        <v>44334</v>
      </c>
      <c r="E9" s="16">
        <f ca="1"/>
        <v>44335</v>
      </c>
      <c r="F9" s="16">
        <f ca="1"/>
        <v>44336</v>
      </c>
      <c r="G9" s="16">
        <f ca="1"/>
        <v>44337</v>
      </c>
      <c r="H9" s="16">
        <f ca="1"/>
        <v>44338</v>
      </c>
    </row>
    <row r="10" spans="1:8" ht="57.95" customHeight="1" x14ac:dyDescent="0.25">
      <c r="A10" s="18"/>
      <c r="B10" s="24"/>
      <c r="C10" s="33" t="s">
        <v>141</v>
      </c>
      <c r="D10" s="33" t="s">
        <v>159</v>
      </c>
      <c r="E10" s="33" t="s">
        <v>144</v>
      </c>
      <c r="F10" s="33" t="s">
        <v>142</v>
      </c>
      <c r="G10" s="33" t="s">
        <v>143</v>
      </c>
      <c r="H10" s="24"/>
    </row>
    <row r="11" spans="1:8" ht="19.5" customHeight="1" x14ac:dyDescent="0.25">
      <c r="A11" s="18"/>
      <c r="B11" s="8">
        <f t="array" aca="1" ref="B11:H11" ca="1">DaysAndWeeks+DATE(CalendarYear,5,1)-WEEKDAY(DATE(CalendarYear,5,1),(WeekStart="Lunes")+1)+29</f>
        <v>44339</v>
      </c>
      <c r="C11" s="8">
        <f ca="1"/>
        <v>44340</v>
      </c>
      <c r="D11" s="8">
        <f ca="1"/>
        <v>44341</v>
      </c>
      <c r="E11" s="8">
        <f ca="1"/>
        <v>44342</v>
      </c>
      <c r="F11" s="8">
        <f ca="1"/>
        <v>44343</v>
      </c>
      <c r="G11" s="8">
        <f ca="1"/>
        <v>44344</v>
      </c>
      <c r="H11" s="8">
        <f ca="1"/>
        <v>44345</v>
      </c>
    </row>
    <row r="12" spans="1:8" ht="57.95" customHeight="1" x14ac:dyDescent="0.25">
      <c r="A12" s="18"/>
      <c r="B12" s="18"/>
      <c r="C12" s="35" t="s">
        <v>145</v>
      </c>
      <c r="D12" s="34" t="s">
        <v>146</v>
      </c>
      <c r="E12" s="34" t="s">
        <v>147</v>
      </c>
      <c r="F12" s="34" t="s">
        <v>148</v>
      </c>
      <c r="G12" s="34" t="s">
        <v>150</v>
      </c>
      <c r="H12" s="18"/>
    </row>
    <row r="13" spans="1:8" ht="19.5" customHeight="1" x14ac:dyDescent="0.25">
      <c r="A13" s="18"/>
      <c r="B13" s="16">
        <f t="array" aca="1" ref="B13:C13" ca="1">DaysAndWeeks+DATE(CalendarYear,5,1)-WEEKDAY(DATE(CalendarYear,5,1),(WeekStart="Lunes")+1)+36</f>
        <v>44346</v>
      </c>
      <c r="C13" s="16">
        <f ca="1"/>
        <v>44347</v>
      </c>
      <c r="D13" s="37" t="s">
        <v>0</v>
      </c>
      <c r="E13" s="38"/>
      <c r="F13" s="38"/>
      <c r="G13" s="38"/>
      <c r="H13" s="38"/>
    </row>
    <row r="14" spans="1:8" ht="57.95" customHeight="1" x14ac:dyDescent="0.25">
      <c r="A14" s="18"/>
      <c r="B14" s="24"/>
      <c r="C14" s="33" t="s">
        <v>149</v>
      </c>
      <c r="D14" s="37"/>
      <c r="E14" s="38"/>
      <c r="F14" s="38"/>
      <c r="G14" s="38"/>
      <c r="H14" s="38"/>
    </row>
  </sheetData>
  <mergeCells count="2">
    <mergeCell ref="D13:D14"/>
    <mergeCell ref="E13:H14"/>
  </mergeCells>
  <conditionalFormatting sqref="B11:H11 B13:C13">
    <cfRule type="expression" dxfId="15" priority="2">
      <formula>AND(DAY(B11)&gt;=1,DAY(B11)&lt;=15)</formula>
    </cfRule>
  </conditionalFormatting>
  <conditionalFormatting sqref="B3:G3">
    <cfRule type="expression" dxfId="14"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mayo"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4" tint="0.79998168889431442"/>
    <pageSetUpPr fitToPage="1"/>
  </sheetPr>
  <dimension ref="A1:H14"/>
  <sheetViews>
    <sheetView showGridLines="0" workbookViewId="0">
      <selection activeCell="E12" sqref="E12"/>
    </sheetView>
  </sheetViews>
  <sheetFormatPr baseColWidth="10" defaultColWidth="8.75" defaultRowHeight="15" x14ac:dyDescent="0.25"/>
  <cols>
    <col min="1" max="1" width="2.625" customWidth="1"/>
    <col min="2" max="2" width="18.25" customWidth="1"/>
    <col min="3" max="8" width="17.625" customWidth="1"/>
    <col min="9" max="9" width="2.625" customWidth="1"/>
    <col min="10" max="10" width="12" customWidth="1"/>
  </cols>
  <sheetData>
    <row r="1" spans="1:8" ht="59.25" customHeight="1" x14ac:dyDescent="0.25">
      <c r="A1" s="18"/>
      <c r="B1" s="17" t="str">
        <f ca="1">"Junio "&amp;CalendarYear</f>
        <v>Junio 2021</v>
      </c>
      <c r="C1" s="17"/>
      <c r="D1" s="17"/>
      <c r="E1" s="3"/>
      <c r="F1" s="3"/>
      <c r="G1" s="3"/>
      <c r="H1" s="4"/>
    </row>
    <row r="2" spans="1:8" ht="21.75" customHeight="1" thickBot="1" x14ac:dyDescent="0.3">
      <c r="A2" s="18"/>
      <c r="B2" s="13" t="str">
        <f>IF(WeekStart="DOMINGO", "DOMINGO","LUNES")</f>
        <v>DOMINGO</v>
      </c>
      <c r="C2" s="13" t="str">
        <f t="shared" ref="C2:H2" ca="1" si="0">UPPER(TEXT(C3,"dddd"))</f>
        <v>LUNES</v>
      </c>
      <c r="D2" s="13" t="str">
        <f t="shared" ca="1" si="0"/>
        <v>MARTES</v>
      </c>
      <c r="E2" s="13" t="str">
        <f t="shared" ca="1" si="0"/>
        <v>MIÉRCOLES</v>
      </c>
      <c r="F2" s="13" t="str">
        <f t="shared" ca="1" si="0"/>
        <v>JUEVES</v>
      </c>
      <c r="G2" s="13" t="str">
        <f t="shared" ca="1" si="0"/>
        <v>VIERNES</v>
      </c>
      <c r="H2" s="13" t="str">
        <f t="shared" ca="1" si="0"/>
        <v>SÁBADO</v>
      </c>
    </row>
    <row r="3" spans="1:8" ht="19.5" customHeight="1" x14ac:dyDescent="0.25">
      <c r="A3" s="18"/>
      <c r="B3" s="8">
        <f t="array" aca="1" ref="B3:H3" ca="1">DaysAndWeeks+DATE(CalendarYear,6,1)-WEEKDAY(DATE(CalendarYear,6,1),(WeekStart="Lunes")+1)+1</f>
        <v>44346</v>
      </c>
      <c r="C3" s="8">
        <f ca="1"/>
        <v>44347</v>
      </c>
      <c r="D3" s="8">
        <f ca="1"/>
        <v>44348</v>
      </c>
      <c r="E3" s="8">
        <f ca="1"/>
        <v>44349</v>
      </c>
      <c r="F3" s="8">
        <f ca="1"/>
        <v>44350</v>
      </c>
      <c r="G3" s="8">
        <f ca="1"/>
        <v>44351</v>
      </c>
      <c r="H3" s="8">
        <f ca="1"/>
        <v>44352</v>
      </c>
    </row>
    <row r="4" spans="1:8" ht="57.95" customHeight="1" x14ac:dyDescent="0.25">
      <c r="A4" s="18"/>
      <c r="B4" s="18"/>
      <c r="C4" s="18"/>
      <c r="D4" s="26" t="s">
        <v>151</v>
      </c>
      <c r="E4" s="26" t="s">
        <v>157</v>
      </c>
      <c r="F4" s="18" t="s">
        <v>13</v>
      </c>
      <c r="G4" s="18" t="s">
        <v>158</v>
      </c>
      <c r="H4" s="18"/>
    </row>
    <row r="5" spans="1:8" ht="19.5" customHeight="1" x14ac:dyDescent="0.25">
      <c r="A5" s="18"/>
      <c r="B5" s="16">
        <f t="array" aca="1" ref="B5:H5" ca="1">DaysAndWeeks+DATE(CalendarYear,6,1)-WEEKDAY(DATE(CalendarYear,6,1),(WeekStart="Lunes")+1)+8</f>
        <v>44353</v>
      </c>
      <c r="C5" s="16">
        <f ca="1"/>
        <v>44354</v>
      </c>
      <c r="D5" s="16">
        <f ca="1"/>
        <v>44355</v>
      </c>
      <c r="E5" s="16">
        <f ca="1"/>
        <v>44356</v>
      </c>
      <c r="F5" s="16">
        <f ca="1"/>
        <v>44357</v>
      </c>
      <c r="G5" s="16">
        <f ca="1"/>
        <v>44358</v>
      </c>
      <c r="H5" s="16">
        <f ca="1"/>
        <v>44359</v>
      </c>
    </row>
    <row r="6" spans="1:8" ht="57.95" customHeight="1" x14ac:dyDescent="0.25">
      <c r="A6" s="18"/>
      <c r="B6" s="24"/>
      <c r="C6" s="25" t="s">
        <v>176</v>
      </c>
      <c r="D6" s="25" t="s">
        <v>160</v>
      </c>
      <c r="E6" s="25" t="s">
        <v>161</v>
      </c>
      <c r="F6" s="25" t="s">
        <v>162</v>
      </c>
      <c r="G6" s="25" t="s">
        <v>163</v>
      </c>
      <c r="H6" s="24"/>
    </row>
    <row r="7" spans="1:8" ht="19.5" customHeight="1" x14ac:dyDescent="0.25">
      <c r="A7" s="18"/>
      <c r="B7" s="8">
        <f t="array" aca="1" ref="B7:H7" ca="1">DaysAndWeeks+DATE(CalendarYear,6,1)-WEEKDAY(DATE(CalendarYear,6,1),(WeekStart="Lunes")+1)+15</f>
        <v>44360</v>
      </c>
      <c r="C7" s="8">
        <f ca="1"/>
        <v>44361</v>
      </c>
      <c r="D7" s="8">
        <f ca="1"/>
        <v>44362</v>
      </c>
      <c r="E7" s="8">
        <f ca="1"/>
        <v>44363</v>
      </c>
      <c r="F7" s="8">
        <f ca="1"/>
        <v>44364</v>
      </c>
      <c r="G7" s="8">
        <f ca="1"/>
        <v>44365</v>
      </c>
      <c r="H7" s="8">
        <f ca="1"/>
        <v>44366</v>
      </c>
    </row>
    <row r="8" spans="1:8" ht="57.95" customHeight="1" x14ac:dyDescent="0.25">
      <c r="A8" s="18"/>
      <c r="B8" s="18"/>
      <c r="C8" s="36" t="s">
        <v>164</v>
      </c>
      <c r="D8" s="26" t="s">
        <v>165</v>
      </c>
      <c r="E8" s="26" t="s">
        <v>165</v>
      </c>
      <c r="F8" s="26" t="s">
        <v>166</v>
      </c>
      <c r="G8" s="26" t="s">
        <v>167</v>
      </c>
      <c r="H8" s="18"/>
    </row>
    <row r="9" spans="1:8" ht="19.5" customHeight="1" x14ac:dyDescent="0.25">
      <c r="A9" s="18"/>
      <c r="B9" s="16">
        <f t="array" aca="1" ref="B9:H9" ca="1">DaysAndWeeks+DATE(CalendarYear,6,1)-WEEKDAY(DATE(CalendarYear,6,1),(WeekStart="Lunes")+1)+22</f>
        <v>44367</v>
      </c>
      <c r="C9" s="16">
        <f ca="1"/>
        <v>44368</v>
      </c>
      <c r="D9" s="16">
        <f ca="1"/>
        <v>44369</v>
      </c>
      <c r="E9" s="16">
        <f ca="1"/>
        <v>44370</v>
      </c>
      <c r="F9" s="16">
        <f ca="1"/>
        <v>44371</v>
      </c>
      <c r="G9" s="16">
        <f ca="1"/>
        <v>44372</v>
      </c>
      <c r="H9" s="16">
        <f ca="1"/>
        <v>44373</v>
      </c>
    </row>
    <row r="10" spans="1:8" ht="57.95" customHeight="1" x14ac:dyDescent="0.25">
      <c r="A10" s="18"/>
      <c r="B10" s="24"/>
      <c r="C10" s="25" t="s">
        <v>168</v>
      </c>
      <c r="D10" s="25" t="s">
        <v>169</v>
      </c>
      <c r="E10" s="25" t="s">
        <v>170</v>
      </c>
      <c r="F10" s="25" t="s">
        <v>171</v>
      </c>
      <c r="G10" s="25" t="s">
        <v>172</v>
      </c>
      <c r="H10" s="24"/>
    </row>
    <row r="11" spans="1:8" ht="19.5" customHeight="1" x14ac:dyDescent="0.25">
      <c r="A11" s="18"/>
      <c r="B11" s="8">
        <f t="array" aca="1" ref="B11:H11" ca="1">DaysAndWeeks+DATE(CalendarYear,6,1)-WEEKDAY(DATE(CalendarYear,6,1),(WeekStart="Lunes")+1)+29</f>
        <v>44374</v>
      </c>
      <c r="C11" s="8">
        <f ca="1"/>
        <v>44375</v>
      </c>
      <c r="D11" s="8">
        <f ca="1"/>
        <v>44376</v>
      </c>
      <c r="E11" s="8">
        <f ca="1"/>
        <v>44377</v>
      </c>
      <c r="F11" s="8">
        <f ca="1"/>
        <v>44378</v>
      </c>
      <c r="G11" s="8">
        <f ca="1"/>
        <v>44379</v>
      </c>
      <c r="H11" s="8">
        <f ca="1"/>
        <v>44380</v>
      </c>
    </row>
    <row r="12" spans="1:8" ht="57.95" customHeight="1" x14ac:dyDescent="0.25">
      <c r="A12" s="18"/>
      <c r="B12" s="18"/>
      <c r="C12" s="26" t="s">
        <v>173</v>
      </c>
      <c r="D12" s="26" t="s">
        <v>174</v>
      </c>
      <c r="E12" s="26" t="s">
        <v>175</v>
      </c>
      <c r="F12" s="26"/>
      <c r="G12" s="18"/>
      <c r="H12" s="18"/>
    </row>
    <row r="13" spans="1:8" ht="19.5" customHeight="1" x14ac:dyDescent="0.25">
      <c r="A13" s="18"/>
      <c r="B13" s="16">
        <f t="array" aca="1" ref="B13:C13" ca="1">DaysAndWeeks+DATE(CalendarYear,6,1)-WEEKDAY(DATE(CalendarYear,6,1),(WeekStart="Lunes")+1)+36</f>
        <v>44381</v>
      </c>
      <c r="C13" s="16">
        <f ca="1"/>
        <v>44382</v>
      </c>
      <c r="D13" s="37" t="s">
        <v>0</v>
      </c>
      <c r="E13" s="38"/>
      <c r="F13" s="38"/>
      <c r="G13" s="38"/>
      <c r="H13" s="38"/>
    </row>
    <row r="14" spans="1:8" ht="57.95" customHeight="1" x14ac:dyDescent="0.25">
      <c r="A14" s="18"/>
      <c r="B14" s="24"/>
      <c r="C14" s="24"/>
      <c r="D14" s="37"/>
      <c r="E14" s="38"/>
      <c r="F14" s="38"/>
      <c r="G14" s="38"/>
      <c r="H14" s="38"/>
    </row>
  </sheetData>
  <mergeCells count="2">
    <mergeCell ref="D13:D14"/>
    <mergeCell ref="E13:H14"/>
  </mergeCells>
  <conditionalFormatting sqref="B11:H11 B13:C13">
    <cfRule type="expression" dxfId="13" priority="2">
      <formula>AND(DAY(B11)&gt;=1,DAY(B11)&lt;=15)</formula>
    </cfRule>
  </conditionalFormatting>
  <conditionalFormatting sqref="B3:G3">
    <cfRule type="expression" dxfId="12"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junio"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2"/>
    <pageSetUpPr fitToPage="1"/>
  </sheetPr>
  <dimension ref="A1:H14"/>
  <sheetViews>
    <sheetView showGridLines="0" zoomScaleNormal="100" workbookViewId="0">
      <selection activeCell="G12" sqref="G12"/>
    </sheetView>
  </sheetViews>
  <sheetFormatPr baseColWidth="10" defaultColWidth="8.75" defaultRowHeight="15" x14ac:dyDescent="0.25"/>
  <cols>
    <col min="1" max="1" width="2.625" customWidth="1"/>
    <col min="2" max="2" width="18.25" customWidth="1"/>
    <col min="3" max="8" width="17.625" customWidth="1"/>
    <col min="9" max="9" width="2.625" customWidth="1"/>
    <col min="10" max="10" width="12" customWidth="1"/>
  </cols>
  <sheetData>
    <row r="1" spans="1:8" ht="59.25" customHeight="1" x14ac:dyDescent="0.25">
      <c r="A1" s="18"/>
      <c r="B1" s="17" t="str">
        <f ca="1">"Julio "&amp;CalendarYear</f>
        <v>Julio 2021</v>
      </c>
      <c r="C1" s="17"/>
      <c r="D1" s="17"/>
      <c r="E1" s="3"/>
      <c r="F1" s="3"/>
      <c r="G1" s="3"/>
      <c r="H1" s="4"/>
    </row>
    <row r="2" spans="1:8" ht="21.75" customHeight="1" thickBot="1" x14ac:dyDescent="0.3">
      <c r="A2" s="18"/>
      <c r="B2" s="13" t="str">
        <f>IF(WeekStart="DOMINGO", "DOMINGO","LUNES")</f>
        <v>DOMINGO</v>
      </c>
      <c r="C2" s="13" t="str">
        <f t="shared" ref="C2:H2" ca="1" si="0">UPPER(TEXT(C3,"dddd"))</f>
        <v>LUNES</v>
      </c>
      <c r="D2" s="13" t="str">
        <f t="shared" ca="1" si="0"/>
        <v>MARTES</v>
      </c>
      <c r="E2" s="13" t="str">
        <f t="shared" ca="1" si="0"/>
        <v>MIÉRCOLES</v>
      </c>
      <c r="F2" s="13" t="str">
        <f t="shared" ca="1" si="0"/>
        <v>JUEVES</v>
      </c>
      <c r="G2" s="13" t="str">
        <f t="shared" ca="1" si="0"/>
        <v>VIERNES</v>
      </c>
      <c r="H2" s="13" t="str">
        <f t="shared" ca="1" si="0"/>
        <v>SÁBADO</v>
      </c>
    </row>
    <row r="3" spans="1:8" ht="19.5" customHeight="1" x14ac:dyDescent="0.25">
      <c r="A3" s="18"/>
      <c r="B3" s="8">
        <f t="array" aca="1" ref="B3:H3" ca="1">DaysAndWeeks+DATE(CalendarYear,7,1)-WEEKDAY(DATE(CalendarYear,7,1),(WeekStart="Lunes")+1)+1</f>
        <v>44374</v>
      </c>
      <c r="C3" s="8">
        <f ca="1"/>
        <v>44375</v>
      </c>
      <c r="D3" s="8">
        <f ca="1"/>
        <v>44376</v>
      </c>
      <c r="E3" s="8">
        <f ca="1"/>
        <v>44377</v>
      </c>
      <c r="F3" s="8">
        <f ca="1"/>
        <v>44378</v>
      </c>
      <c r="G3" s="8">
        <f ca="1"/>
        <v>44379</v>
      </c>
      <c r="H3" s="8">
        <f ca="1"/>
        <v>44380</v>
      </c>
    </row>
    <row r="4" spans="1:8" ht="57.95" customHeight="1" x14ac:dyDescent="0.25">
      <c r="A4" s="18"/>
      <c r="B4" s="18"/>
      <c r="C4" s="18"/>
      <c r="D4" s="18"/>
      <c r="E4" s="18"/>
      <c r="F4" s="26" t="s">
        <v>177</v>
      </c>
      <c r="G4" s="26" t="s">
        <v>178</v>
      </c>
      <c r="H4" s="18"/>
    </row>
    <row r="5" spans="1:8" ht="19.5" customHeight="1" x14ac:dyDescent="0.25">
      <c r="A5" s="18"/>
      <c r="B5" s="16">
        <f t="array" aca="1" ref="B5:H5" ca="1">DaysAndWeeks+DATE(CalendarYear,7,1)-WEEKDAY(DATE(CalendarYear,7,1),(WeekStart="Lunes")+1)+8</f>
        <v>44381</v>
      </c>
      <c r="C5" s="16">
        <f ca="1"/>
        <v>44382</v>
      </c>
      <c r="D5" s="16">
        <f ca="1"/>
        <v>44383</v>
      </c>
      <c r="E5" s="16">
        <f ca="1"/>
        <v>44384</v>
      </c>
      <c r="F5" s="16">
        <f ca="1"/>
        <v>44385</v>
      </c>
      <c r="G5" s="16">
        <f ca="1"/>
        <v>44386</v>
      </c>
      <c r="H5" s="16">
        <f ca="1"/>
        <v>44387</v>
      </c>
    </row>
    <row r="6" spans="1:8" ht="57.95" customHeight="1" x14ac:dyDescent="0.25">
      <c r="A6" s="18"/>
      <c r="C6" s="25" t="s">
        <v>179</v>
      </c>
      <c r="D6" s="25" t="s">
        <v>180</v>
      </c>
      <c r="E6" s="25" t="s">
        <v>181</v>
      </c>
      <c r="F6" s="25" t="s">
        <v>182</v>
      </c>
      <c r="G6" s="25" t="s">
        <v>183</v>
      </c>
      <c r="H6" s="24"/>
    </row>
    <row r="7" spans="1:8" ht="19.5" customHeight="1" x14ac:dyDescent="0.25">
      <c r="A7" s="18"/>
      <c r="B7" s="8">
        <f t="array" aca="1" ref="B7:H7" ca="1">DaysAndWeeks+DATE(CalendarYear,7,1)-WEEKDAY(DATE(CalendarYear,7,1),(WeekStart="Lunes")+1)+15</f>
        <v>44388</v>
      </c>
      <c r="C7" s="8">
        <f ca="1"/>
        <v>44389</v>
      </c>
      <c r="D7" s="8">
        <f ca="1"/>
        <v>44390</v>
      </c>
      <c r="E7" s="8">
        <f ca="1"/>
        <v>44391</v>
      </c>
      <c r="F7" s="8">
        <f ca="1"/>
        <v>44392</v>
      </c>
      <c r="G7" s="8">
        <f ca="1"/>
        <v>44393</v>
      </c>
      <c r="H7" s="8">
        <f ca="1"/>
        <v>44394</v>
      </c>
    </row>
    <row r="8" spans="1:8" ht="57.95" customHeight="1" x14ac:dyDescent="0.25">
      <c r="A8" s="18"/>
      <c r="B8" s="18"/>
      <c r="C8" s="26" t="s">
        <v>184</v>
      </c>
      <c r="D8" s="26" t="s">
        <v>186</v>
      </c>
      <c r="E8" s="26" t="s">
        <v>185</v>
      </c>
      <c r="F8" s="26" t="s">
        <v>187</v>
      </c>
      <c r="G8" s="26" t="s">
        <v>189</v>
      </c>
      <c r="H8" s="18"/>
    </row>
    <row r="9" spans="1:8" ht="19.5" customHeight="1" x14ac:dyDescent="0.25">
      <c r="A9" s="18"/>
      <c r="B9" s="16">
        <f t="array" aca="1" ref="B9:H9" ca="1">DaysAndWeeks+DATE(CalendarYear,7,1)-WEEKDAY(DATE(CalendarYear,7,1),(WeekStart="Lunes")+1)+22</f>
        <v>44395</v>
      </c>
      <c r="C9" s="16">
        <f ca="1"/>
        <v>44396</v>
      </c>
      <c r="D9" s="16">
        <f ca="1"/>
        <v>44397</v>
      </c>
      <c r="E9" s="16">
        <f ca="1"/>
        <v>44398</v>
      </c>
      <c r="F9" s="16">
        <f ca="1"/>
        <v>44399</v>
      </c>
      <c r="G9" s="16">
        <f ca="1"/>
        <v>44400</v>
      </c>
      <c r="H9" s="16">
        <f ca="1"/>
        <v>44401</v>
      </c>
    </row>
    <row r="10" spans="1:8" ht="57.95" customHeight="1" x14ac:dyDescent="0.25">
      <c r="A10" s="18"/>
      <c r="B10" s="24"/>
      <c r="C10" s="24"/>
      <c r="D10" s="24"/>
      <c r="E10" s="24" t="s">
        <v>188</v>
      </c>
      <c r="F10" s="24" t="s">
        <v>188</v>
      </c>
      <c r="G10" s="24" t="s">
        <v>188</v>
      </c>
      <c r="H10" s="24"/>
    </row>
    <row r="11" spans="1:8" ht="19.5" customHeight="1" x14ac:dyDescent="0.25">
      <c r="A11" s="18"/>
      <c r="B11" s="8">
        <f t="array" aca="1" ref="B11:H11" ca="1">DaysAndWeeks+DATE(CalendarYear,7,1)-WEEKDAY(DATE(CalendarYear,7,1),(WeekStart="Lunes")+1)+29</f>
        <v>44402</v>
      </c>
      <c r="C11" s="8">
        <f ca="1"/>
        <v>44403</v>
      </c>
      <c r="D11" s="8">
        <f ca="1"/>
        <v>44404</v>
      </c>
      <c r="E11" s="8">
        <f ca="1"/>
        <v>44405</v>
      </c>
      <c r="F11" s="8">
        <f ca="1"/>
        <v>44406</v>
      </c>
      <c r="G11" s="8">
        <f ca="1"/>
        <v>44407</v>
      </c>
      <c r="H11" s="8">
        <f ca="1"/>
        <v>44408</v>
      </c>
    </row>
    <row r="12" spans="1:8" ht="57.95" customHeight="1" x14ac:dyDescent="0.25">
      <c r="A12" s="18"/>
      <c r="B12" s="18"/>
      <c r="C12" s="18" t="s">
        <v>64</v>
      </c>
      <c r="D12" s="18" t="s">
        <v>64</v>
      </c>
      <c r="E12" s="18" t="s">
        <v>64</v>
      </c>
      <c r="F12" s="18" t="s">
        <v>64</v>
      </c>
      <c r="G12" s="18" t="s">
        <v>64</v>
      </c>
      <c r="H12" s="18"/>
    </row>
    <row r="13" spans="1:8" ht="19.5" customHeight="1" x14ac:dyDescent="0.25">
      <c r="A13" s="18"/>
      <c r="B13" s="16">
        <f t="array" aca="1" ref="B13:C13" ca="1">DaysAndWeeks+DATE(CalendarYear,7,1)-WEEKDAY(DATE(CalendarYear,7,1),(WeekStart="Lunes")+1)+36</f>
        <v>44409</v>
      </c>
      <c r="C13" s="16">
        <f ca="1"/>
        <v>44410</v>
      </c>
      <c r="D13" s="37" t="s">
        <v>0</v>
      </c>
      <c r="E13" s="38"/>
      <c r="F13" s="38"/>
      <c r="G13" s="38"/>
      <c r="H13" s="38"/>
    </row>
    <row r="14" spans="1:8" ht="57.95" customHeight="1" x14ac:dyDescent="0.25">
      <c r="A14" s="18"/>
      <c r="B14" s="24"/>
      <c r="C14" s="24"/>
      <c r="D14" s="37"/>
      <c r="E14" s="38"/>
      <c r="F14" s="38"/>
      <c r="G14" s="38"/>
      <c r="H14" s="38"/>
    </row>
  </sheetData>
  <mergeCells count="2">
    <mergeCell ref="D13:D14"/>
    <mergeCell ref="E13:H14"/>
  </mergeCells>
  <conditionalFormatting sqref="B11:H11 B13:C13">
    <cfRule type="expression" dxfId="11" priority="2">
      <formula>AND(DAY(B11)&gt;=1,DAY(B11)&lt;=15)</formula>
    </cfRule>
  </conditionalFormatting>
  <conditionalFormatting sqref="B3:G3">
    <cfRule type="expression" dxfId="10" priority="1">
      <formula>DAY(B3)&gt;8</formula>
    </cfRule>
  </conditionalFormatting>
  <dataValidations count="9">
    <dataValidation allowBlank="1" showInputMessage="1" showErrorMessage="1" prompt="El día laborable se determinará    _x000a_automáticamente." sqref="C2: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julio"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2" tint="-9.9978637043366805E-2"/>
    <pageSetUpPr fitToPage="1"/>
  </sheetPr>
  <dimension ref="A1:H14"/>
  <sheetViews>
    <sheetView showGridLines="0" workbookViewId="0">
      <selection activeCell="E13" sqref="E13:H14"/>
    </sheetView>
  </sheetViews>
  <sheetFormatPr baseColWidth="10" defaultColWidth="8.75" defaultRowHeight="15" x14ac:dyDescent="0.25"/>
  <cols>
    <col min="1" max="1" width="2.625" customWidth="1"/>
    <col min="2" max="2" width="18.25" customWidth="1"/>
    <col min="3" max="8" width="17.625" customWidth="1"/>
    <col min="9" max="9" width="2.625" customWidth="1"/>
    <col min="10" max="10" width="12" customWidth="1"/>
  </cols>
  <sheetData>
    <row r="1" spans="1:8" ht="59.25" customHeight="1" x14ac:dyDescent="0.25">
      <c r="A1" s="18"/>
      <c r="B1" s="17" t="str">
        <f ca="1">"Agosto "&amp;CalendarYear</f>
        <v>Agosto 2021</v>
      </c>
      <c r="C1" s="17"/>
      <c r="D1" s="17"/>
      <c r="E1" s="3"/>
      <c r="F1" s="3"/>
      <c r="G1" s="3"/>
      <c r="H1" s="4"/>
    </row>
    <row r="2" spans="1:8" ht="21.75" customHeight="1" thickBot="1" x14ac:dyDescent="0.3">
      <c r="A2" s="18"/>
      <c r="B2" s="13" t="str">
        <f>IF(WeekStart="DOMINGO", "DOMINGO","LUNES")</f>
        <v>DOMINGO</v>
      </c>
      <c r="C2" s="13" t="str">
        <f t="shared" ref="C2:H2" ca="1" si="0">UPPER(TEXT(C3,"dddd"))</f>
        <v>LUNES</v>
      </c>
      <c r="D2" s="13" t="str">
        <f t="shared" ca="1" si="0"/>
        <v>MARTES</v>
      </c>
      <c r="E2" s="13" t="str">
        <f t="shared" ca="1" si="0"/>
        <v>MIÉRCOLES</v>
      </c>
      <c r="F2" s="13" t="str">
        <f t="shared" ca="1" si="0"/>
        <v>JUEVES</v>
      </c>
      <c r="G2" s="13" t="str">
        <f t="shared" ca="1" si="0"/>
        <v>VIERNES</v>
      </c>
      <c r="H2" s="13" t="str">
        <f t="shared" ca="1" si="0"/>
        <v>SÁBADO</v>
      </c>
    </row>
    <row r="3" spans="1:8" ht="19.5" customHeight="1" x14ac:dyDescent="0.25">
      <c r="A3" s="18"/>
      <c r="B3" s="8">
        <f t="array" aca="1" ref="B3:H3" ca="1">DaysAndWeeks+DATE(CalendarYear,8,1)-WEEKDAY(DATE(CalendarYear,8,1),(WeekStart="Lunes")+1)+1</f>
        <v>44409</v>
      </c>
      <c r="C3" s="8">
        <f ca="1"/>
        <v>44410</v>
      </c>
      <c r="D3" s="8">
        <f ca="1"/>
        <v>44411</v>
      </c>
      <c r="E3" s="8">
        <f ca="1"/>
        <v>44412</v>
      </c>
      <c r="F3" s="8">
        <f ca="1"/>
        <v>44413</v>
      </c>
      <c r="G3" s="8">
        <f ca="1"/>
        <v>44414</v>
      </c>
      <c r="H3" s="8">
        <f ca="1"/>
        <v>44415</v>
      </c>
    </row>
    <row r="4" spans="1:8" ht="57.95" customHeight="1" x14ac:dyDescent="0.25">
      <c r="A4" s="18"/>
      <c r="B4" s="18"/>
      <c r="C4" s="18" t="s">
        <v>64</v>
      </c>
      <c r="D4" s="18" t="s">
        <v>64</v>
      </c>
      <c r="E4" s="18" t="s">
        <v>64</v>
      </c>
      <c r="F4" s="18" t="s">
        <v>64</v>
      </c>
      <c r="G4" s="18" t="s">
        <v>64</v>
      </c>
      <c r="H4" s="18"/>
    </row>
    <row r="5" spans="1:8" ht="19.5" customHeight="1" x14ac:dyDescent="0.25">
      <c r="A5" s="18"/>
      <c r="B5" s="16">
        <f t="array" aca="1" ref="B5:H5" ca="1">DaysAndWeeks+DATE(CalendarYear,8,1)-WEEKDAY(DATE(CalendarYear,8,1),(WeekStart="Lunes")+1)+8</f>
        <v>44416</v>
      </c>
      <c r="C5" s="16">
        <f ca="1"/>
        <v>44417</v>
      </c>
      <c r="D5" s="16">
        <f ca="1"/>
        <v>44418</v>
      </c>
      <c r="E5" s="16">
        <f ca="1"/>
        <v>44419</v>
      </c>
      <c r="F5" s="16">
        <f ca="1"/>
        <v>44420</v>
      </c>
      <c r="G5" s="16">
        <f ca="1"/>
        <v>44421</v>
      </c>
      <c r="H5" s="16">
        <f ca="1"/>
        <v>44422</v>
      </c>
    </row>
    <row r="6" spans="1:8" ht="57.95" customHeight="1" x14ac:dyDescent="0.25">
      <c r="A6" s="18"/>
      <c r="B6" s="24"/>
      <c r="C6" s="18" t="s">
        <v>64</v>
      </c>
      <c r="D6" s="18" t="s">
        <v>64</v>
      </c>
      <c r="E6" s="18" t="s">
        <v>64</v>
      </c>
      <c r="F6" s="18" t="s">
        <v>64</v>
      </c>
      <c r="G6" s="18" t="s">
        <v>64</v>
      </c>
      <c r="H6" s="24"/>
    </row>
    <row r="7" spans="1:8" ht="19.5" customHeight="1" x14ac:dyDescent="0.25">
      <c r="A7" s="18"/>
      <c r="B7" s="8">
        <f t="array" aca="1" ref="B7:H7" ca="1">DaysAndWeeks+DATE(CalendarYear,8,1)-WEEKDAY(DATE(CalendarYear,8,1),(WeekStart="Lunes")+1)+15</f>
        <v>44423</v>
      </c>
      <c r="C7" s="8">
        <f ca="1"/>
        <v>44424</v>
      </c>
      <c r="D7" s="8">
        <f ca="1"/>
        <v>44425</v>
      </c>
      <c r="E7" s="8">
        <f ca="1"/>
        <v>44426</v>
      </c>
      <c r="F7" s="8">
        <f ca="1"/>
        <v>44427</v>
      </c>
      <c r="G7" s="8">
        <f ca="1"/>
        <v>44428</v>
      </c>
      <c r="H7" s="8">
        <f ca="1"/>
        <v>44429</v>
      </c>
    </row>
    <row r="8" spans="1:8" ht="57.95" customHeight="1" x14ac:dyDescent="0.25">
      <c r="A8" s="18"/>
      <c r="B8" s="18"/>
      <c r="C8" s="18" t="s">
        <v>5</v>
      </c>
      <c r="D8" s="26" t="s">
        <v>190</v>
      </c>
      <c r="E8" s="26" t="s">
        <v>191</v>
      </c>
      <c r="F8" s="26" t="s">
        <v>192</v>
      </c>
      <c r="G8" s="26" t="s">
        <v>193</v>
      </c>
      <c r="H8" s="18"/>
    </row>
    <row r="9" spans="1:8" ht="19.5" customHeight="1" x14ac:dyDescent="0.25">
      <c r="A9" s="18"/>
      <c r="B9" s="16">
        <f t="array" aca="1" ref="B9:H9" ca="1">DaysAndWeeks+DATE(CalendarYear,8,1)-WEEKDAY(DATE(CalendarYear,8,1),(WeekStart="Lunes")+1)+22</f>
        <v>44430</v>
      </c>
      <c r="C9" s="16">
        <f ca="1"/>
        <v>44431</v>
      </c>
      <c r="D9" s="16">
        <f ca="1"/>
        <v>44432</v>
      </c>
      <c r="E9" s="16">
        <f ca="1"/>
        <v>44433</v>
      </c>
      <c r="F9" s="16">
        <f ca="1"/>
        <v>44434</v>
      </c>
      <c r="G9" s="16">
        <f ca="1"/>
        <v>44435</v>
      </c>
      <c r="H9" s="16">
        <f ca="1"/>
        <v>44436</v>
      </c>
    </row>
    <row r="10" spans="1:8" ht="57.95" customHeight="1" x14ac:dyDescent="0.25">
      <c r="A10" s="18"/>
      <c r="B10" s="24"/>
      <c r="C10" s="25" t="s">
        <v>198</v>
      </c>
      <c r="D10" s="25" t="s">
        <v>194</v>
      </c>
      <c r="E10" s="25" t="s">
        <v>195</v>
      </c>
      <c r="F10" s="25" t="s">
        <v>196</v>
      </c>
      <c r="G10" s="25" t="s">
        <v>197</v>
      </c>
      <c r="H10" s="24"/>
    </row>
    <row r="11" spans="1:8" ht="19.5" customHeight="1" x14ac:dyDescent="0.25">
      <c r="A11" s="18"/>
      <c r="B11" s="8">
        <f t="array" aca="1" ref="B11:H11" ca="1">DaysAndWeeks+DATE(CalendarYear,8,1)-WEEKDAY(DATE(CalendarYear,8,1),(WeekStart="Lunes")+1)+29</f>
        <v>44437</v>
      </c>
      <c r="C11" s="8">
        <f ca="1"/>
        <v>44438</v>
      </c>
      <c r="D11" s="8">
        <f ca="1"/>
        <v>44439</v>
      </c>
      <c r="E11" s="8">
        <f ca="1"/>
        <v>44440</v>
      </c>
      <c r="F11" s="8">
        <f ca="1"/>
        <v>44441</v>
      </c>
      <c r="G11" s="8">
        <f ca="1"/>
        <v>44442</v>
      </c>
      <c r="H11" s="8">
        <f ca="1"/>
        <v>44443</v>
      </c>
    </row>
    <row r="12" spans="1:8" ht="57.95" customHeight="1" x14ac:dyDescent="0.25">
      <c r="A12" s="18"/>
      <c r="B12" s="18"/>
      <c r="C12" s="26" t="s">
        <v>199</v>
      </c>
      <c r="D12" s="26" t="s">
        <v>200</v>
      </c>
      <c r="E12" s="26"/>
      <c r="F12" s="26"/>
      <c r="G12" s="26"/>
      <c r="H12" s="18"/>
    </row>
    <row r="13" spans="1:8" ht="19.5" customHeight="1" x14ac:dyDescent="0.25">
      <c r="A13" s="18"/>
      <c r="B13" s="16">
        <f t="array" aca="1" ref="B13:C13" ca="1">DaysAndWeeks+DATE(CalendarYear,8,1)-WEEKDAY(DATE(CalendarYear,8,1),(WeekStart="Lunes")+1)+36</f>
        <v>44444</v>
      </c>
      <c r="C13" s="16">
        <f ca="1"/>
        <v>44445</v>
      </c>
      <c r="D13" s="37" t="s">
        <v>0</v>
      </c>
      <c r="E13" s="38"/>
      <c r="F13" s="38"/>
      <c r="G13" s="38"/>
      <c r="H13" s="38"/>
    </row>
    <row r="14" spans="1:8" ht="57.95" customHeight="1" x14ac:dyDescent="0.25">
      <c r="A14" s="18"/>
      <c r="B14" s="24"/>
      <c r="C14" s="24"/>
      <c r="D14" s="37"/>
      <c r="E14" s="38"/>
      <c r="F14" s="38"/>
      <c r="G14" s="38"/>
      <c r="H14" s="38"/>
    </row>
  </sheetData>
  <mergeCells count="2">
    <mergeCell ref="D13:D14"/>
    <mergeCell ref="E13:H14"/>
  </mergeCells>
  <conditionalFormatting sqref="B11:H11 B13:C13">
    <cfRule type="expression" dxfId="9" priority="2">
      <formula>AND(DAY(B11)&gt;=1,DAY(B11)&lt;=15)</formula>
    </cfRule>
  </conditionalFormatting>
  <conditionalFormatting sqref="B3:G3">
    <cfRule type="expression" dxfId="8"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agosto"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2" tint="-0.249977111117893"/>
    <pageSetUpPr fitToPage="1"/>
  </sheetPr>
  <dimension ref="A1:H14"/>
  <sheetViews>
    <sheetView showGridLines="0" tabSelected="1" workbookViewId="0">
      <selection activeCell="C8" sqref="C8"/>
    </sheetView>
  </sheetViews>
  <sheetFormatPr baseColWidth="10" defaultColWidth="8.75" defaultRowHeight="15" x14ac:dyDescent="0.25"/>
  <cols>
    <col min="1" max="1" width="2.625" customWidth="1"/>
    <col min="2" max="2" width="18.25" customWidth="1"/>
    <col min="3" max="8" width="17.625" customWidth="1"/>
    <col min="9" max="9" width="2.625" customWidth="1"/>
    <col min="10" max="10" width="12" customWidth="1"/>
  </cols>
  <sheetData>
    <row r="1" spans="1:8" ht="59.25" customHeight="1" x14ac:dyDescent="0.25">
      <c r="A1" s="18"/>
      <c r="B1" s="17" t="str">
        <f ca="1">"Septiembre "&amp;CalendarYear</f>
        <v>Septiembre 2021</v>
      </c>
      <c r="C1" s="17"/>
      <c r="D1" s="17"/>
      <c r="E1" s="3"/>
      <c r="F1" s="3"/>
      <c r="G1" s="3"/>
      <c r="H1" s="4"/>
    </row>
    <row r="2" spans="1:8" ht="21.75" customHeight="1" thickBot="1" x14ac:dyDescent="0.3">
      <c r="A2" s="18"/>
      <c r="B2" s="13" t="str">
        <f>IF(WeekStart="DOMINGO", "DOMINGO","LUNES")</f>
        <v>DOMINGO</v>
      </c>
      <c r="C2" s="13" t="str">
        <f t="shared" ref="C2:H2" ca="1" si="0">UPPER(TEXT(C3,"dddd"))</f>
        <v>LUNES</v>
      </c>
      <c r="D2" s="13" t="str">
        <f t="shared" ca="1" si="0"/>
        <v>MARTES</v>
      </c>
      <c r="E2" s="13" t="str">
        <f t="shared" ca="1" si="0"/>
        <v>MIÉRCOLES</v>
      </c>
      <c r="F2" s="13" t="str">
        <f t="shared" ca="1" si="0"/>
        <v>JUEVES</v>
      </c>
      <c r="G2" s="13" t="str">
        <f t="shared" ca="1" si="0"/>
        <v>VIERNES</v>
      </c>
      <c r="H2" s="13" t="str">
        <f t="shared" ca="1" si="0"/>
        <v>SÁBADO</v>
      </c>
    </row>
    <row r="3" spans="1:8" ht="19.5" customHeight="1" x14ac:dyDescent="0.25">
      <c r="A3" s="18"/>
      <c r="B3" s="8">
        <f t="array" aca="1" ref="B3:H3" ca="1">DaysAndWeeks+DATE(CalendarYear,9,1)-WEEKDAY(DATE(CalendarYear,9,1),(WeekStart="Lunes")+1)+1</f>
        <v>44437</v>
      </c>
      <c r="C3" s="8">
        <f ca="1"/>
        <v>44438</v>
      </c>
      <c r="D3" s="8">
        <f ca="1"/>
        <v>44439</v>
      </c>
      <c r="E3" s="8">
        <f ca="1"/>
        <v>44440</v>
      </c>
      <c r="F3" s="8">
        <f ca="1"/>
        <v>44441</v>
      </c>
      <c r="G3" s="8">
        <f ca="1"/>
        <v>44442</v>
      </c>
      <c r="H3" s="8">
        <f ca="1"/>
        <v>44443</v>
      </c>
    </row>
    <row r="4" spans="1:8" ht="57.95" customHeight="1" x14ac:dyDescent="0.25">
      <c r="A4" s="18"/>
      <c r="B4" s="18"/>
      <c r="C4" s="18"/>
      <c r="D4" s="18"/>
      <c r="E4" s="26" t="s">
        <v>201</v>
      </c>
      <c r="F4" s="26" t="s">
        <v>202</v>
      </c>
      <c r="G4" s="26" t="s">
        <v>203</v>
      </c>
      <c r="H4" s="18"/>
    </row>
    <row r="5" spans="1:8" ht="19.5" customHeight="1" x14ac:dyDescent="0.25">
      <c r="A5" s="18"/>
      <c r="B5" s="16">
        <f t="array" aca="1" ref="B5:H5" ca="1">DaysAndWeeks+DATE(CalendarYear,9,1)-WEEKDAY(DATE(CalendarYear,9,1),(WeekStart="Lunes")+1)+8</f>
        <v>44444</v>
      </c>
      <c r="C5" s="16">
        <f ca="1"/>
        <v>44445</v>
      </c>
      <c r="D5" s="16">
        <f ca="1"/>
        <v>44446</v>
      </c>
      <c r="E5" s="16">
        <f ca="1"/>
        <v>44447</v>
      </c>
      <c r="F5" s="16">
        <f ca="1"/>
        <v>44448</v>
      </c>
      <c r="G5" s="16">
        <f ca="1"/>
        <v>44449</v>
      </c>
      <c r="H5" s="16">
        <f ca="1"/>
        <v>44450</v>
      </c>
    </row>
    <row r="6" spans="1:8" ht="57.95" customHeight="1" x14ac:dyDescent="0.25">
      <c r="A6" s="18"/>
      <c r="B6" s="24"/>
      <c r="C6" s="25" t="s">
        <v>204</v>
      </c>
      <c r="D6" s="25" t="s">
        <v>205</v>
      </c>
      <c r="E6" s="25" t="s">
        <v>206</v>
      </c>
      <c r="F6" s="25" t="s">
        <v>207</v>
      </c>
      <c r="G6" s="25" t="s">
        <v>208</v>
      </c>
      <c r="H6" s="24"/>
    </row>
    <row r="7" spans="1:8" ht="19.5" customHeight="1" x14ac:dyDescent="0.25">
      <c r="A7" s="18"/>
      <c r="B7" s="8">
        <f t="array" aca="1" ref="B7:H7" ca="1">DaysAndWeeks+DATE(CalendarYear,9,1)-WEEKDAY(DATE(CalendarYear,9,1),(WeekStart="Lunes")+1)+15</f>
        <v>44451</v>
      </c>
      <c r="C7" s="8">
        <f ca="1"/>
        <v>44452</v>
      </c>
      <c r="D7" s="8">
        <f ca="1"/>
        <v>44453</v>
      </c>
      <c r="E7" s="8">
        <f ca="1"/>
        <v>44454</v>
      </c>
      <c r="F7" s="8">
        <f ca="1"/>
        <v>44455</v>
      </c>
      <c r="G7" s="8">
        <f ca="1"/>
        <v>44456</v>
      </c>
      <c r="H7" s="8">
        <f ca="1"/>
        <v>44457</v>
      </c>
    </row>
    <row r="8" spans="1:8" ht="57.95" customHeight="1" x14ac:dyDescent="0.25">
      <c r="A8" s="18"/>
      <c r="B8" s="18"/>
      <c r="C8" s="25"/>
      <c r="D8" s="18"/>
      <c r="E8" s="18"/>
      <c r="F8" s="18"/>
      <c r="G8" s="18"/>
      <c r="H8" s="18"/>
    </row>
    <row r="9" spans="1:8" ht="19.5" customHeight="1" x14ac:dyDescent="0.25">
      <c r="A9" s="18"/>
      <c r="B9" s="16">
        <f t="array" aca="1" ref="B9:H9" ca="1">DaysAndWeeks+DATE(CalendarYear,9,1)-WEEKDAY(DATE(CalendarYear,9,1),(WeekStart="Lunes")+1)+22</f>
        <v>44458</v>
      </c>
      <c r="C9" s="16">
        <f ca="1"/>
        <v>44459</v>
      </c>
      <c r="D9" s="16">
        <f ca="1"/>
        <v>44460</v>
      </c>
      <c r="E9" s="16">
        <f ca="1"/>
        <v>44461</v>
      </c>
      <c r="F9" s="16">
        <f ca="1"/>
        <v>44462</v>
      </c>
      <c r="G9" s="16">
        <f ca="1"/>
        <v>44463</v>
      </c>
      <c r="H9" s="16">
        <f ca="1"/>
        <v>44464</v>
      </c>
    </row>
    <row r="10" spans="1:8" ht="57.95" customHeight="1" x14ac:dyDescent="0.25">
      <c r="A10" s="18"/>
      <c r="B10" s="24"/>
      <c r="C10" s="25"/>
      <c r="D10" s="25"/>
      <c r="F10" s="25"/>
      <c r="G10" s="25"/>
      <c r="H10" s="24"/>
    </row>
    <row r="11" spans="1:8" ht="19.5" customHeight="1" x14ac:dyDescent="0.25">
      <c r="A11" s="18"/>
      <c r="B11" s="8">
        <f t="array" aca="1" ref="B11:H11" ca="1">DaysAndWeeks+DATE(CalendarYear,9,1)-WEEKDAY(DATE(CalendarYear,9,1),(WeekStart="Lunes")+1)+29</f>
        <v>44465</v>
      </c>
      <c r="C11" s="8">
        <f ca="1"/>
        <v>44466</v>
      </c>
      <c r="D11" s="8">
        <f ca="1"/>
        <v>44467</v>
      </c>
      <c r="E11" s="8">
        <f ca="1"/>
        <v>44468</v>
      </c>
      <c r="F11" s="8">
        <f ca="1"/>
        <v>44469</v>
      </c>
      <c r="G11" s="8">
        <f ca="1"/>
        <v>44470</v>
      </c>
      <c r="H11" s="8">
        <f ca="1"/>
        <v>44471</v>
      </c>
    </row>
    <row r="12" spans="1:8" ht="57.95" customHeight="1" x14ac:dyDescent="0.25">
      <c r="A12" s="18"/>
      <c r="C12" s="26"/>
      <c r="D12" s="26"/>
      <c r="E12" s="26"/>
      <c r="F12" s="27"/>
      <c r="G12" s="27"/>
      <c r="H12" s="18"/>
    </row>
    <row r="13" spans="1:8" ht="19.5" customHeight="1" x14ac:dyDescent="0.25">
      <c r="A13" s="18"/>
      <c r="B13" s="16">
        <f t="array" aca="1" ref="B13:C13" ca="1">DaysAndWeeks+DATE(CalendarYear,9,1)-WEEKDAY(DATE(CalendarYear,9,1),(WeekStart="Lunes")+1)+36</f>
        <v>44472</v>
      </c>
      <c r="C13" s="16">
        <f ca="1"/>
        <v>44473</v>
      </c>
      <c r="D13" s="37" t="s">
        <v>0</v>
      </c>
      <c r="E13" s="38"/>
      <c r="F13" s="38"/>
      <c r="G13" s="38"/>
      <c r="H13" s="38"/>
    </row>
    <row r="14" spans="1:8" ht="57.95" customHeight="1" x14ac:dyDescent="0.25">
      <c r="A14" s="18"/>
      <c r="B14" s="24"/>
      <c r="C14" s="24"/>
      <c r="D14" s="37"/>
      <c r="E14" s="38"/>
      <c r="F14" s="38"/>
      <c r="G14" s="38"/>
      <c r="H14" s="38"/>
    </row>
  </sheetData>
  <mergeCells count="2">
    <mergeCell ref="D13:D14"/>
    <mergeCell ref="E13:H14"/>
  </mergeCells>
  <conditionalFormatting sqref="B11:H11 B13:C13">
    <cfRule type="expression" dxfId="7" priority="2">
      <formula>AND(DAY(B11)&gt;=1,DAY(B11)&lt;=15)</formula>
    </cfRule>
  </conditionalFormatting>
  <conditionalFormatting sqref="B3:G3">
    <cfRule type="expression" dxfId="6" priority="1">
      <formula>DAY(B3)&gt;8</formula>
    </cfRule>
  </conditionalFormatting>
  <dataValidations count="9">
    <dataValidation allowBlank="1" showInputMessage="1" showErrorMessage="1" prompt="El día laborable se determinará    _x000a_automáticamente." sqref="C2: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septiembre"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2" tint="-0.499984740745262"/>
    <pageSetUpPr fitToPage="1"/>
  </sheetPr>
  <dimension ref="A1:H14"/>
  <sheetViews>
    <sheetView showGridLines="0" topLeftCell="B4" workbookViewId="0">
      <selection activeCell="G12" sqref="G12"/>
    </sheetView>
  </sheetViews>
  <sheetFormatPr baseColWidth="10" defaultColWidth="8.75" defaultRowHeight="15" x14ac:dyDescent="0.25"/>
  <cols>
    <col min="1" max="1" width="2.625" customWidth="1"/>
    <col min="2" max="2" width="18.25" customWidth="1"/>
    <col min="3" max="8" width="17.625" customWidth="1"/>
    <col min="9" max="9" width="2.625" customWidth="1"/>
  </cols>
  <sheetData>
    <row r="1" spans="1:8" ht="59.25" customHeight="1" x14ac:dyDescent="0.25">
      <c r="A1" s="18"/>
      <c r="B1" s="17" t="str">
        <f ca="1">"Octubre "&amp;CalendarYear</f>
        <v>Octubre 2021</v>
      </c>
      <c r="C1" s="17"/>
      <c r="D1" s="17"/>
      <c r="E1" s="3"/>
      <c r="F1" s="3"/>
      <c r="G1" s="3"/>
      <c r="H1" s="4"/>
    </row>
    <row r="2" spans="1:8" ht="21.75" customHeight="1" thickBot="1" x14ac:dyDescent="0.3">
      <c r="A2" s="18"/>
      <c r="B2" s="13" t="str">
        <f>IF(WeekStart="DOMINGO", "DOMINGO","LUNES")</f>
        <v>DOMINGO</v>
      </c>
      <c r="C2" s="13" t="str">
        <f t="shared" ref="C2:H2" ca="1" si="0">UPPER(TEXT(C3,"dddd"))</f>
        <v>LUNES</v>
      </c>
      <c r="D2" s="13" t="str">
        <f t="shared" ca="1" si="0"/>
        <v>MARTES</v>
      </c>
      <c r="E2" s="13" t="str">
        <f t="shared" ca="1" si="0"/>
        <v>MIÉRCOLES</v>
      </c>
      <c r="F2" s="13" t="str">
        <f t="shared" ca="1" si="0"/>
        <v>JUEVES</v>
      </c>
      <c r="G2" s="13" t="str">
        <f t="shared" ca="1" si="0"/>
        <v>VIERNES</v>
      </c>
      <c r="H2" s="13" t="str">
        <f t="shared" ca="1" si="0"/>
        <v>SÁBADO</v>
      </c>
    </row>
    <row r="3" spans="1:8" ht="19.5" customHeight="1" x14ac:dyDescent="0.25">
      <c r="A3" s="18"/>
      <c r="B3" s="8">
        <f t="array" aca="1" ref="B3:H3" ca="1">DaysAndWeeks+DATE(CalendarYear,10,1)-WEEKDAY(DATE(CalendarYear,10,1),(WeekStart="Lunes")+1)+1</f>
        <v>44465</v>
      </c>
      <c r="C3" s="8">
        <f ca="1"/>
        <v>44466</v>
      </c>
      <c r="D3" s="8">
        <f ca="1"/>
        <v>44467</v>
      </c>
      <c r="E3" s="8">
        <f ca="1"/>
        <v>44468</v>
      </c>
      <c r="F3" s="8">
        <f ca="1"/>
        <v>44469</v>
      </c>
      <c r="G3" s="8">
        <f ca="1"/>
        <v>44470</v>
      </c>
      <c r="H3" s="8">
        <f ca="1"/>
        <v>44471</v>
      </c>
    </row>
    <row r="4" spans="1:8" ht="57.95" customHeight="1" x14ac:dyDescent="0.25">
      <c r="A4" s="18"/>
      <c r="B4" s="18"/>
      <c r="C4" s="18"/>
      <c r="D4" s="18"/>
      <c r="E4" s="18"/>
      <c r="F4" s="28" t="s">
        <v>12</v>
      </c>
      <c r="G4" s="28" t="s">
        <v>6</v>
      </c>
      <c r="H4" s="18"/>
    </row>
    <row r="5" spans="1:8" ht="19.5" customHeight="1" x14ac:dyDescent="0.25">
      <c r="A5" s="18"/>
      <c r="B5" s="16">
        <f t="array" aca="1" ref="B5:H5" ca="1">DaysAndWeeks+DATE(CalendarYear,10,1)-WEEKDAY(DATE(CalendarYear,10,1),(WeekStart="Lunes")+1)+8</f>
        <v>44472</v>
      </c>
      <c r="C5" s="16">
        <f ca="1"/>
        <v>44473</v>
      </c>
      <c r="D5" s="16">
        <f ca="1"/>
        <v>44474</v>
      </c>
      <c r="E5" s="16">
        <f ca="1"/>
        <v>44475</v>
      </c>
      <c r="F5" s="16">
        <f ca="1"/>
        <v>44476</v>
      </c>
      <c r="G5" s="16">
        <f ca="1"/>
        <v>44477</v>
      </c>
      <c r="H5" s="16">
        <f ca="1"/>
        <v>44478</v>
      </c>
    </row>
    <row r="6" spans="1:8" ht="57.95" customHeight="1" x14ac:dyDescent="0.25">
      <c r="A6" s="18"/>
      <c r="B6" s="24"/>
      <c r="C6" s="29" t="s">
        <v>7</v>
      </c>
      <c r="D6" s="29" t="s">
        <v>8</v>
      </c>
      <c r="E6" s="29" t="s">
        <v>9</v>
      </c>
      <c r="F6" s="25" t="s">
        <v>10</v>
      </c>
      <c r="G6" s="25" t="s">
        <v>11</v>
      </c>
      <c r="H6" s="24"/>
    </row>
    <row r="7" spans="1:8" ht="19.5" customHeight="1" x14ac:dyDescent="0.25">
      <c r="A7" s="18"/>
      <c r="B7" s="8">
        <f t="array" aca="1" ref="B7:H7" ca="1">DaysAndWeeks+DATE(CalendarYear,10,1)-WEEKDAY(DATE(CalendarYear,10,1),(WeekStart="Lunes")+1)+15</f>
        <v>44479</v>
      </c>
      <c r="C7" s="8">
        <f ca="1"/>
        <v>44480</v>
      </c>
      <c r="D7" s="8">
        <f ca="1"/>
        <v>44481</v>
      </c>
      <c r="E7" s="8">
        <f ca="1"/>
        <v>44482</v>
      </c>
      <c r="F7" s="8">
        <f ca="1"/>
        <v>44483</v>
      </c>
      <c r="G7" s="8">
        <f ca="1"/>
        <v>44484</v>
      </c>
      <c r="H7" s="8">
        <f ca="1"/>
        <v>44485</v>
      </c>
    </row>
    <row r="8" spans="1:8" ht="57.95" customHeight="1" x14ac:dyDescent="0.25">
      <c r="A8" s="18"/>
      <c r="C8" s="18" t="s">
        <v>13</v>
      </c>
      <c r="D8" s="26" t="s">
        <v>14</v>
      </c>
      <c r="E8" s="26" t="s">
        <v>15</v>
      </c>
      <c r="F8" s="26" t="s">
        <v>16</v>
      </c>
      <c r="G8" s="26" t="s">
        <v>17</v>
      </c>
      <c r="H8" s="18"/>
    </row>
    <row r="9" spans="1:8" ht="19.5" customHeight="1" x14ac:dyDescent="0.25">
      <c r="A9" s="18"/>
      <c r="B9" s="16">
        <f t="array" aca="1" ref="B9:H9" ca="1">DaysAndWeeks+DATE(CalendarYear,10,1)-WEEKDAY(DATE(CalendarYear,10,1),(WeekStart="Lunes")+1)+22</f>
        <v>44486</v>
      </c>
      <c r="C9" s="16">
        <f ca="1"/>
        <v>44487</v>
      </c>
      <c r="D9" s="16">
        <f ca="1"/>
        <v>44488</v>
      </c>
      <c r="E9" s="16">
        <f ca="1"/>
        <v>44489</v>
      </c>
      <c r="F9" s="16">
        <f ca="1"/>
        <v>44490</v>
      </c>
      <c r="G9" s="16">
        <f ca="1"/>
        <v>44491</v>
      </c>
      <c r="H9" s="16">
        <f ca="1"/>
        <v>44492</v>
      </c>
    </row>
    <row r="10" spans="1:8" ht="57.95" customHeight="1" x14ac:dyDescent="0.25">
      <c r="A10" s="18"/>
      <c r="B10" s="24"/>
      <c r="C10" s="25" t="s">
        <v>18</v>
      </c>
      <c r="D10" s="25" t="s">
        <v>19</v>
      </c>
      <c r="E10" s="25" t="s">
        <v>21</v>
      </c>
      <c r="F10" s="25" t="s">
        <v>20</v>
      </c>
      <c r="G10" s="25" t="s">
        <v>22</v>
      </c>
      <c r="H10" s="24"/>
    </row>
    <row r="11" spans="1:8" ht="19.5" customHeight="1" x14ac:dyDescent="0.25">
      <c r="A11" s="18"/>
      <c r="B11" s="8">
        <f t="array" aca="1" ref="B11:H11" ca="1">DaysAndWeeks+DATE(CalendarYear,10,1)-WEEKDAY(DATE(CalendarYear,10,1),(WeekStart="Lunes")+1)+29</f>
        <v>44493</v>
      </c>
      <c r="C11" s="8">
        <f ca="1"/>
        <v>44494</v>
      </c>
      <c r="D11" s="8">
        <f ca="1"/>
        <v>44495</v>
      </c>
      <c r="E11" s="8">
        <f ca="1"/>
        <v>44496</v>
      </c>
      <c r="F11" s="8">
        <f ca="1"/>
        <v>44497</v>
      </c>
      <c r="G11" s="8">
        <f ca="1"/>
        <v>44498</v>
      </c>
      <c r="H11" s="8">
        <f ca="1"/>
        <v>44499</v>
      </c>
    </row>
    <row r="12" spans="1:8" ht="57.95" customHeight="1" x14ac:dyDescent="0.25">
      <c r="A12" s="18"/>
      <c r="B12" s="18"/>
      <c r="C12" s="26" t="s">
        <v>24</v>
      </c>
      <c r="D12" s="26" t="s">
        <v>23</v>
      </c>
      <c r="E12" s="26" t="s">
        <v>25</v>
      </c>
      <c r="F12" s="26" t="s">
        <v>26</v>
      </c>
      <c r="G12" s="26" t="s">
        <v>27</v>
      </c>
      <c r="H12" s="18"/>
    </row>
    <row r="13" spans="1:8" ht="19.5" customHeight="1" x14ac:dyDescent="0.25">
      <c r="A13" s="18"/>
      <c r="B13" s="16">
        <f t="array" aca="1" ref="B13:C13" ca="1">DaysAndWeeks+DATE(CalendarYear,10,1)-WEEKDAY(DATE(CalendarYear,10,1),(WeekStart="Lunes")+1)+36</f>
        <v>44500</v>
      </c>
      <c r="C13" s="16">
        <f ca="1"/>
        <v>44501</v>
      </c>
      <c r="D13" s="37"/>
      <c r="E13" s="38"/>
      <c r="F13" s="38"/>
      <c r="G13" s="38"/>
      <c r="H13" s="38"/>
    </row>
    <row r="14" spans="1:8" ht="57.95" customHeight="1" x14ac:dyDescent="0.25">
      <c r="A14" s="18"/>
      <c r="B14" s="24"/>
      <c r="C14" s="24"/>
      <c r="D14" s="37"/>
      <c r="E14" s="38"/>
      <c r="F14" s="38"/>
      <c r="G14" s="38"/>
      <c r="H14" s="38"/>
    </row>
  </sheetData>
  <mergeCells count="2">
    <mergeCell ref="D13:D14"/>
    <mergeCell ref="E13:H14"/>
  </mergeCells>
  <conditionalFormatting sqref="B11:H11 B13:C13">
    <cfRule type="expression" dxfId="5" priority="2">
      <formula>AND(DAY(B11)&gt;=1,DAY(B11)&lt;=15)</formula>
    </cfRule>
  </conditionalFormatting>
  <conditionalFormatting sqref="B3:G3">
    <cfRule type="expression" dxfId="4" priority="1">
      <formula>DAY(B3)&gt;8</formula>
    </cfRule>
  </conditionalFormatting>
  <dataValidations count="9">
    <dataValidation allowBlank="1" showInputMessage="1" showErrorMessage="1" prompt="El día laborable se determinará    _x000a_automáticamente." sqref="C2: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octubre"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2" tint="-0.89999084444715716"/>
    <pageSetUpPr fitToPage="1"/>
  </sheetPr>
  <dimension ref="A1:H14"/>
  <sheetViews>
    <sheetView showGridLines="0" topLeftCell="B1" workbookViewId="0">
      <selection activeCell="H22" sqref="H22"/>
    </sheetView>
  </sheetViews>
  <sheetFormatPr baseColWidth="10" defaultColWidth="8.75" defaultRowHeight="15" x14ac:dyDescent="0.25"/>
  <cols>
    <col min="1" max="1" width="2.625" customWidth="1"/>
    <col min="2" max="2" width="18.25" customWidth="1"/>
    <col min="3" max="8" width="17.625" customWidth="1"/>
    <col min="9" max="9" width="2.625" customWidth="1"/>
  </cols>
  <sheetData>
    <row r="1" spans="1:8" ht="59.25" customHeight="1" x14ac:dyDescent="0.25">
      <c r="A1" s="18"/>
      <c r="B1" s="17" t="str">
        <f ca="1">"Noviembre "&amp;CalendarYear</f>
        <v>Noviembre 2021</v>
      </c>
      <c r="C1" s="17"/>
      <c r="D1" s="17"/>
      <c r="E1" s="3"/>
      <c r="F1" s="3"/>
      <c r="G1" s="3"/>
      <c r="H1" s="4"/>
    </row>
    <row r="2" spans="1:8" ht="21.75" customHeight="1" thickBot="1" x14ac:dyDescent="0.3">
      <c r="A2" s="18"/>
      <c r="B2" s="13" t="str">
        <f>IF(WeekStart="DOMINGO", "DOMINGO","LUNES")</f>
        <v>DOMINGO</v>
      </c>
      <c r="C2" s="13" t="str">
        <f t="shared" ref="C2:H2" ca="1" si="0">UPPER(TEXT(C3,"dddd"))</f>
        <v>LUNES</v>
      </c>
      <c r="D2" s="13" t="str">
        <f t="shared" ca="1" si="0"/>
        <v>MARTES</v>
      </c>
      <c r="E2" s="13" t="str">
        <f t="shared" ca="1" si="0"/>
        <v>MIÉRCOLES</v>
      </c>
      <c r="F2" s="13" t="str">
        <f t="shared" ca="1" si="0"/>
        <v>JUEVES</v>
      </c>
      <c r="G2" s="13" t="str">
        <f t="shared" ca="1" si="0"/>
        <v>VIERNES</v>
      </c>
      <c r="H2" s="13" t="str">
        <f t="shared" ca="1" si="0"/>
        <v>SÁBADO</v>
      </c>
    </row>
    <row r="3" spans="1:8" ht="19.5" customHeight="1" x14ac:dyDescent="0.25">
      <c r="A3" s="18"/>
      <c r="B3" s="8">
        <f t="array" aca="1" ref="B3:H3" ca="1">DaysAndWeeks+DATE(CalendarYear,11,1)-WEEKDAY(DATE(CalendarYear,11,1),(WeekStart="Lunes")+1)+1</f>
        <v>44500</v>
      </c>
      <c r="C3" s="8">
        <f ca="1"/>
        <v>44501</v>
      </c>
      <c r="D3" s="8">
        <f ca="1"/>
        <v>44502</v>
      </c>
      <c r="E3" s="8">
        <f ca="1"/>
        <v>44503</v>
      </c>
      <c r="F3" s="8">
        <f ca="1"/>
        <v>44504</v>
      </c>
      <c r="G3" s="8">
        <f ca="1"/>
        <v>44505</v>
      </c>
      <c r="H3" s="8">
        <f ca="1"/>
        <v>44506</v>
      </c>
    </row>
    <row r="4" spans="1:8" ht="57.95" customHeight="1" x14ac:dyDescent="0.25">
      <c r="A4" s="18"/>
      <c r="B4" s="18"/>
      <c r="C4" s="18" t="s">
        <v>13</v>
      </c>
      <c r="D4" s="26" t="s">
        <v>28</v>
      </c>
      <c r="E4" s="26" t="s">
        <v>29</v>
      </c>
      <c r="F4" s="26" t="s">
        <v>30</v>
      </c>
      <c r="G4" s="26" t="s">
        <v>31</v>
      </c>
      <c r="H4" s="18"/>
    </row>
    <row r="5" spans="1:8" ht="19.5" customHeight="1" x14ac:dyDescent="0.25">
      <c r="A5" s="18"/>
      <c r="B5" s="16">
        <f t="array" aca="1" ref="B5:H5" ca="1">DaysAndWeeks+DATE(CalendarYear,11,1)-WEEKDAY(DATE(CalendarYear,11,1),(WeekStart="Lunes")+1)+8</f>
        <v>44507</v>
      </c>
      <c r="C5" s="16">
        <f ca="1"/>
        <v>44508</v>
      </c>
      <c r="D5" s="16">
        <f ca="1"/>
        <v>44509</v>
      </c>
      <c r="E5" s="16">
        <f ca="1"/>
        <v>44510</v>
      </c>
      <c r="F5" s="16">
        <f ca="1"/>
        <v>44511</v>
      </c>
      <c r="G5" s="16">
        <f ca="1"/>
        <v>44512</v>
      </c>
      <c r="H5" s="16">
        <f ca="1"/>
        <v>44513</v>
      </c>
    </row>
    <row r="6" spans="1:8" ht="57.95" customHeight="1" x14ac:dyDescent="0.25">
      <c r="A6" s="18"/>
      <c r="B6" s="24"/>
      <c r="C6" s="25" t="s">
        <v>32</v>
      </c>
      <c r="D6" s="25" t="s">
        <v>33</v>
      </c>
      <c r="E6" s="25" t="s">
        <v>34</v>
      </c>
      <c r="F6" s="25" t="s">
        <v>36</v>
      </c>
      <c r="G6" s="25" t="s">
        <v>35</v>
      </c>
      <c r="H6" s="24"/>
    </row>
    <row r="7" spans="1:8" ht="19.5" customHeight="1" x14ac:dyDescent="0.25">
      <c r="A7" s="18"/>
      <c r="B7" s="8">
        <f t="array" aca="1" ref="B7:H7" ca="1">DaysAndWeeks+DATE(CalendarYear,11,1)-WEEKDAY(DATE(CalendarYear,11,1),(WeekStart="Lunes")+1)+15</f>
        <v>44514</v>
      </c>
      <c r="C7" s="8">
        <f ca="1"/>
        <v>44515</v>
      </c>
      <c r="D7" s="8">
        <f ca="1"/>
        <v>44516</v>
      </c>
      <c r="E7" s="8">
        <f ca="1"/>
        <v>44517</v>
      </c>
      <c r="F7" s="8">
        <f ca="1"/>
        <v>44518</v>
      </c>
      <c r="G7" s="8">
        <f ca="1"/>
        <v>44519</v>
      </c>
      <c r="H7" s="8">
        <f ca="1"/>
        <v>44520</v>
      </c>
    </row>
    <row r="8" spans="1:8" ht="57.95" customHeight="1" x14ac:dyDescent="0.25">
      <c r="A8" s="18"/>
      <c r="B8" s="18"/>
      <c r="C8" s="26" t="s">
        <v>37</v>
      </c>
      <c r="D8" s="26" t="s">
        <v>38</v>
      </c>
      <c r="E8" s="26" t="s">
        <v>39</v>
      </c>
      <c r="F8" s="26" t="s">
        <v>40</v>
      </c>
      <c r="G8" s="26" t="s">
        <v>41</v>
      </c>
      <c r="H8" s="18"/>
    </row>
    <row r="9" spans="1:8" ht="19.5" customHeight="1" x14ac:dyDescent="0.25">
      <c r="A9" s="18"/>
      <c r="B9" s="16">
        <f t="array" aca="1" ref="B9:H9" ca="1">DaysAndWeeks+DATE(CalendarYear,11,1)-WEEKDAY(DATE(CalendarYear,11,1),(WeekStart="Lunes")+1)+22</f>
        <v>44521</v>
      </c>
      <c r="C9" s="16">
        <f ca="1"/>
        <v>44522</v>
      </c>
      <c r="D9" s="16">
        <f ca="1"/>
        <v>44523</v>
      </c>
      <c r="E9" s="16">
        <f ca="1"/>
        <v>44524</v>
      </c>
      <c r="F9" s="16">
        <f ca="1"/>
        <v>44525</v>
      </c>
      <c r="G9" s="16">
        <f ca="1"/>
        <v>44526</v>
      </c>
      <c r="H9" s="16">
        <f ca="1"/>
        <v>44527</v>
      </c>
    </row>
    <row r="10" spans="1:8" ht="57.95" customHeight="1" x14ac:dyDescent="0.25">
      <c r="A10" s="18"/>
      <c r="B10" s="24"/>
      <c r="C10" s="25" t="s">
        <v>42</v>
      </c>
      <c r="D10" s="25" t="s">
        <v>43</v>
      </c>
      <c r="E10" s="25" t="s">
        <v>45</v>
      </c>
      <c r="F10" s="25" t="s">
        <v>44</v>
      </c>
      <c r="G10" s="25" t="s">
        <v>46</v>
      </c>
      <c r="H10" s="24"/>
    </row>
    <row r="11" spans="1:8" ht="19.5" customHeight="1" x14ac:dyDescent="0.25">
      <c r="A11" s="18"/>
      <c r="B11" s="8">
        <f t="array" aca="1" ref="B11:H11" ca="1">DaysAndWeeks+DATE(CalendarYear,11,1)-WEEKDAY(DATE(CalendarYear,11,1),(WeekStart="Lunes")+1)+29</f>
        <v>44528</v>
      </c>
      <c r="C11" s="8">
        <f ca="1"/>
        <v>44529</v>
      </c>
      <c r="D11" s="8">
        <f ca="1"/>
        <v>44530</v>
      </c>
      <c r="E11" s="8">
        <f ca="1"/>
        <v>44531</v>
      </c>
      <c r="F11" s="8">
        <f ca="1"/>
        <v>44532</v>
      </c>
      <c r="G11" s="8">
        <f ca="1"/>
        <v>44533</v>
      </c>
      <c r="H11" s="8">
        <f ca="1"/>
        <v>44534</v>
      </c>
    </row>
    <row r="12" spans="1:8" ht="57.95" customHeight="1" x14ac:dyDescent="0.25">
      <c r="A12" s="18"/>
      <c r="B12" s="18"/>
      <c r="C12" s="26" t="s">
        <v>47</v>
      </c>
      <c r="D12" s="26" t="s">
        <v>48</v>
      </c>
      <c r="E12" s="26" t="s">
        <v>49</v>
      </c>
      <c r="F12" s="26" t="s">
        <v>50</v>
      </c>
      <c r="G12" s="26" t="s">
        <v>51</v>
      </c>
      <c r="H12" s="18"/>
    </row>
    <row r="13" spans="1:8" ht="19.5" customHeight="1" x14ac:dyDescent="0.25">
      <c r="A13" s="18"/>
      <c r="B13" s="16">
        <f t="array" aca="1" ref="B13:C13" ca="1">DaysAndWeeks+DATE(CalendarYear,11,1)-WEEKDAY(DATE(CalendarYear,11,1),(WeekStart="Lunes")+1)+36</f>
        <v>44535</v>
      </c>
      <c r="C13" s="16">
        <f ca="1"/>
        <v>44536</v>
      </c>
      <c r="D13" s="37"/>
      <c r="E13" s="38"/>
      <c r="F13" s="38"/>
      <c r="G13" s="38"/>
      <c r="H13" s="38"/>
    </row>
    <row r="14" spans="1:8" ht="57.95" customHeight="1" x14ac:dyDescent="0.25">
      <c r="A14" s="18"/>
      <c r="B14" s="24"/>
      <c r="C14" s="24"/>
      <c r="D14" s="37"/>
      <c r="E14" s="38"/>
      <c r="F14" s="38"/>
      <c r="G14" s="38"/>
      <c r="H14" s="38"/>
    </row>
  </sheetData>
  <mergeCells count="2">
    <mergeCell ref="D13:D14"/>
    <mergeCell ref="E13:H14"/>
  </mergeCells>
  <conditionalFormatting sqref="B11:H11 B13:C13">
    <cfRule type="expression" dxfId="3" priority="2">
      <formula>AND(DAY(B11)&gt;=1,DAY(B11)&lt;=15)</formula>
    </cfRule>
  </conditionalFormatting>
  <conditionalFormatting sqref="B3:G3">
    <cfRule type="expression" dxfId="2" priority="1">
      <formula>DAY(B3)&gt;8</formula>
    </cfRule>
  </conditionalFormatting>
  <dataValidations count="10">
    <dataValidation allowBlank="1" showInputMessage="1" showErrorMessage="1" prompt="El día laborable se determinará    _x000a_automáticamente." sqref="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noviembre"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 allowBlank="1" showInputMessage="1" showErrorMessage="1" prompt="El día laborable se determinará    _x000a_automáticamente." sqref="C2 D2 E2 F2 G2"/>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1" tint="4.9989318521683403E-2"/>
    <pageSetUpPr fitToPage="1"/>
  </sheetPr>
  <dimension ref="A1:H14"/>
  <sheetViews>
    <sheetView showGridLines="0" topLeftCell="B4" workbookViewId="0">
      <selection activeCell="C12" sqref="C12"/>
    </sheetView>
  </sheetViews>
  <sheetFormatPr baseColWidth="10" defaultColWidth="8.75" defaultRowHeight="15" x14ac:dyDescent="0.25"/>
  <cols>
    <col min="1" max="1" width="2.625" customWidth="1"/>
    <col min="2" max="2" width="18.25" customWidth="1"/>
    <col min="3" max="8" width="17.625" customWidth="1"/>
    <col min="9" max="9" width="2.625" customWidth="1"/>
  </cols>
  <sheetData>
    <row r="1" spans="1:8" ht="59.25" customHeight="1" x14ac:dyDescent="0.25">
      <c r="A1" s="18"/>
      <c r="B1" s="17" t="str">
        <f ca="1">"Diciembre "&amp;CalendarYear</f>
        <v>Diciembre 2021</v>
      </c>
      <c r="C1" s="17"/>
      <c r="D1" s="17"/>
      <c r="E1" s="3"/>
      <c r="F1" s="3"/>
      <c r="G1" s="3"/>
      <c r="H1" s="4"/>
    </row>
    <row r="2" spans="1:8" ht="21.75" customHeight="1" thickBot="1" x14ac:dyDescent="0.3">
      <c r="A2" s="18"/>
      <c r="B2" s="13" t="str">
        <f>IF(WeekStart="DOMINGO", "DOMINGO","LUNES")</f>
        <v>DOMINGO</v>
      </c>
      <c r="C2" s="13" t="str">
        <f t="shared" ref="C2:H2" ca="1" si="0">UPPER(TEXT(C3,"dddd"))</f>
        <v>LUNES</v>
      </c>
      <c r="D2" s="13" t="str">
        <f t="shared" ca="1" si="0"/>
        <v>MARTES</v>
      </c>
      <c r="E2" s="13" t="str">
        <f t="shared" ca="1" si="0"/>
        <v>MIÉRCOLES</v>
      </c>
      <c r="F2" s="13" t="str">
        <f t="shared" ca="1" si="0"/>
        <v>JUEVES</v>
      </c>
      <c r="G2" s="13" t="str">
        <f t="shared" ca="1" si="0"/>
        <v>VIERNES</v>
      </c>
      <c r="H2" s="13" t="str">
        <f t="shared" ca="1" si="0"/>
        <v>SÁBADO</v>
      </c>
    </row>
    <row r="3" spans="1:8" ht="19.5" customHeight="1" x14ac:dyDescent="0.25">
      <c r="A3" s="18"/>
      <c r="B3" s="8">
        <f t="array" aca="1" ref="B3:H3" ca="1">DaysAndWeeks+DATE(CalendarYear,12,1)-WEEKDAY(DATE(CalendarYear,12,1),(WeekStart="Lunes")+1)+1</f>
        <v>44528</v>
      </c>
      <c r="C3" s="8">
        <f ca="1"/>
        <v>44529</v>
      </c>
      <c r="D3" s="8">
        <f ca="1"/>
        <v>44530</v>
      </c>
      <c r="E3" s="8">
        <f ca="1"/>
        <v>44531</v>
      </c>
      <c r="F3" s="8">
        <f ca="1"/>
        <v>44532</v>
      </c>
      <c r="G3" s="8">
        <f ca="1"/>
        <v>44533</v>
      </c>
      <c r="H3" s="8">
        <f ca="1"/>
        <v>44534</v>
      </c>
    </row>
    <row r="4" spans="1:8" ht="57.95" customHeight="1" x14ac:dyDescent="0.25">
      <c r="A4" s="18"/>
      <c r="B4" s="18"/>
      <c r="C4" s="18"/>
      <c r="D4" s="18"/>
      <c r="E4" s="18"/>
      <c r="F4" s="18"/>
      <c r="G4" s="18"/>
      <c r="H4" s="18"/>
    </row>
    <row r="5" spans="1:8" ht="19.5" customHeight="1" x14ac:dyDescent="0.25">
      <c r="A5" s="18"/>
      <c r="B5" s="16">
        <f t="array" aca="1" ref="B5:H5" ca="1">DaysAndWeeks+DATE(CalendarYear,12,1)-WEEKDAY(DATE(CalendarYear,12,1),(WeekStart="Lunes")+1)+8</f>
        <v>44535</v>
      </c>
      <c r="C5" s="16">
        <f ca="1"/>
        <v>44536</v>
      </c>
      <c r="D5" s="16">
        <f ca="1"/>
        <v>44537</v>
      </c>
      <c r="E5" s="16">
        <f ca="1"/>
        <v>44538</v>
      </c>
      <c r="F5" s="16">
        <f ca="1"/>
        <v>44539</v>
      </c>
      <c r="G5" s="16">
        <f ca="1"/>
        <v>44540</v>
      </c>
      <c r="H5" s="16">
        <f ca="1"/>
        <v>44541</v>
      </c>
    </row>
    <row r="6" spans="1:8" ht="57.95" customHeight="1" x14ac:dyDescent="0.25">
      <c r="A6" s="18"/>
      <c r="B6" s="24"/>
      <c r="C6" s="24" t="s">
        <v>5</v>
      </c>
      <c r="D6" s="24" t="s">
        <v>5</v>
      </c>
      <c r="E6" s="25" t="s">
        <v>52</v>
      </c>
      <c r="F6" s="25" t="s">
        <v>53</v>
      </c>
      <c r="G6" s="25" t="s">
        <v>54</v>
      </c>
      <c r="H6" s="24"/>
    </row>
    <row r="7" spans="1:8" ht="19.5" customHeight="1" x14ac:dyDescent="0.25">
      <c r="A7" s="18"/>
      <c r="B7" s="8">
        <f t="array" aca="1" ref="B7:H7" ca="1">DaysAndWeeks+DATE(CalendarYear,12,1)-WEEKDAY(DATE(CalendarYear,12,1),(WeekStart="Lunes")+1)+15</f>
        <v>44542</v>
      </c>
      <c r="C7" s="8">
        <f ca="1"/>
        <v>44543</v>
      </c>
      <c r="D7" s="8">
        <f ca="1"/>
        <v>44544</v>
      </c>
      <c r="E7" s="8">
        <f ca="1"/>
        <v>44545</v>
      </c>
      <c r="F7" s="8">
        <f ca="1"/>
        <v>44546</v>
      </c>
      <c r="G7" s="8">
        <f ca="1"/>
        <v>44547</v>
      </c>
      <c r="H7" s="8">
        <f ca="1"/>
        <v>44548</v>
      </c>
    </row>
    <row r="8" spans="1:8" ht="57.95" customHeight="1" x14ac:dyDescent="0.25">
      <c r="A8" s="18"/>
      <c r="B8" s="18"/>
      <c r="C8" s="26" t="s">
        <v>55</v>
      </c>
      <c r="D8" s="26" t="s">
        <v>56</v>
      </c>
      <c r="E8" s="26" t="s">
        <v>57</v>
      </c>
      <c r="F8" s="26" t="s">
        <v>58</v>
      </c>
      <c r="G8" s="26" t="s">
        <v>59</v>
      </c>
      <c r="H8" s="18"/>
    </row>
    <row r="9" spans="1:8" ht="19.5" customHeight="1" x14ac:dyDescent="0.25">
      <c r="A9" s="18"/>
      <c r="B9" s="16">
        <f t="array" aca="1" ref="B9:H9" ca="1">DaysAndWeeks+DATE(CalendarYear,12,1)-WEEKDAY(DATE(CalendarYear,12,1),(WeekStart="Lunes")+1)+22</f>
        <v>44549</v>
      </c>
      <c r="C9" s="16">
        <f ca="1"/>
        <v>44550</v>
      </c>
      <c r="D9" s="16">
        <f ca="1"/>
        <v>44551</v>
      </c>
      <c r="E9" s="16">
        <f ca="1"/>
        <v>44552</v>
      </c>
      <c r="F9" s="16">
        <f ca="1"/>
        <v>44553</v>
      </c>
      <c r="G9" s="16">
        <f ca="1"/>
        <v>44554</v>
      </c>
      <c r="H9" s="16">
        <f ca="1"/>
        <v>44555</v>
      </c>
    </row>
    <row r="10" spans="1:8" ht="57.95" customHeight="1" x14ac:dyDescent="0.25">
      <c r="A10" s="18"/>
      <c r="B10" s="24"/>
      <c r="C10" s="24" t="s">
        <v>61</v>
      </c>
      <c r="D10" s="30" t="s">
        <v>61</v>
      </c>
      <c r="E10" s="24" t="s">
        <v>61</v>
      </c>
      <c r="F10" s="25" t="s">
        <v>62</v>
      </c>
      <c r="G10" s="24" t="s">
        <v>60</v>
      </c>
    </row>
    <row r="11" spans="1:8" ht="19.5" customHeight="1" x14ac:dyDescent="0.25">
      <c r="A11" s="18"/>
      <c r="B11" s="8">
        <f t="array" aca="1" ref="B11:H11" ca="1">DaysAndWeeks+DATE(CalendarYear,12,1)-WEEKDAY(DATE(CalendarYear,12,1),(WeekStart="Lunes")+1)+29</f>
        <v>44556</v>
      </c>
      <c r="C11" s="8">
        <f ca="1"/>
        <v>44557</v>
      </c>
      <c r="D11" s="8">
        <f ca="1"/>
        <v>44558</v>
      </c>
      <c r="E11" s="8">
        <f ca="1"/>
        <v>44559</v>
      </c>
      <c r="F11" s="8">
        <f ca="1"/>
        <v>44560</v>
      </c>
      <c r="G11" s="8">
        <f ca="1"/>
        <v>44561</v>
      </c>
      <c r="H11" s="8">
        <f ca="1"/>
        <v>44562</v>
      </c>
    </row>
    <row r="12" spans="1:8" ht="57.95" customHeight="1" x14ac:dyDescent="0.25">
      <c r="A12" s="18"/>
      <c r="B12" s="18"/>
      <c r="C12" s="26" t="s">
        <v>63</v>
      </c>
      <c r="D12" s="18"/>
      <c r="E12" s="18"/>
      <c r="F12" s="18"/>
      <c r="G12" s="18"/>
      <c r="H12" s="18"/>
    </row>
    <row r="13" spans="1:8" ht="19.5" customHeight="1" x14ac:dyDescent="0.25">
      <c r="A13" s="18"/>
      <c r="B13" s="16">
        <f t="array" aca="1" ref="B13:C13" ca="1">DaysAndWeeks+DATE(CalendarYear,12,1)-WEEKDAY(DATE(CalendarYear,12,1),(WeekStart="Lunes")+1)+36</f>
        <v>44563</v>
      </c>
      <c r="C13" s="16">
        <f ca="1"/>
        <v>44564</v>
      </c>
      <c r="D13" s="37" t="s">
        <v>0</v>
      </c>
      <c r="E13" s="38"/>
      <c r="F13" s="38"/>
      <c r="G13" s="38"/>
      <c r="H13" s="38"/>
    </row>
    <row r="14" spans="1:8" ht="57.95" customHeight="1" x14ac:dyDescent="0.25">
      <c r="A14" s="18"/>
      <c r="B14" s="24"/>
      <c r="C14" s="24"/>
      <c r="D14" s="37"/>
      <c r="E14" s="38"/>
      <c r="F14" s="38"/>
      <c r="G14" s="38"/>
      <c r="H14" s="38"/>
    </row>
  </sheetData>
  <mergeCells count="2">
    <mergeCell ref="D13:D14"/>
    <mergeCell ref="E13:H14"/>
  </mergeCells>
  <conditionalFormatting sqref="B11:H11 B13:C13">
    <cfRule type="expression" dxfId="1" priority="2">
      <formula>AND(DAY(B11)&gt;=1,DAY(B11)&lt;=15)</formula>
    </cfRule>
  </conditionalFormatting>
  <conditionalFormatting sqref="B3:G3">
    <cfRule type="expression" dxfId="0" priority="1">
      <formula>DAY(B3)&gt;8</formula>
    </cfRule>
  </conditionalFormatting>
  <dataValidations count="9">
    <dataValidation allowBlank="1" showInputMessage="1" showErrorMessage="1" prompt="El día laborable se determinará    _x000a_automáticamente." sqref="C2:H2"/>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
    <dataValidation allowBlank="1" showInputMessage="1" showErrorMessage="1" prompt="Esta fila contiene los nombres de los días laborables de este calendario. Esta celda contiene el día de inicio de la semana. Para cambiar el día de inicio, escriba un nuevo día laborable en la celda K3 de la hoja de cálculo de enero." sqref="B2"/>
    <dataValidation allowBlank="1" showInputMessage="1" showErrorMessage="1" prompt="El año de esta celda se actualiza automáticamente. Seleccione otro año en la celda K2 para cambiar de año." sqref="C1:D1"/>
    <dataValidation allowBlank="1" showInputMessage="1" showErrorMessage="1" prompt="Calendario del mes de diciembre" sqref="A1"/>
    <dataValidation allowBlank="1" showInputMessage="1" showErrorMessage="1" prompt="Escriba notas en la celda a la derecha." sqref="D13:D14"/>
    <dataValidation allowBlank="1" showInputMessage="1" showErrorMessage="1" prompt="Escriba notas en esta celda." sqref="E13:H14"/>
    <dataValidation allowBlank="1" showInputMessage="1" showErrorMessage="1" prompt="Las celdas de esta fila y las filas 6, 8, 10, 12 y 14 son para escribir notas diarias relacionadas con el día natural de la celda anterior." sqref="B4"/>
  </dataValidations>
  <printOptions horizontalCentered="1" verticalCentered="1"/>
  <pageMargins left="0.7" right="0.7" top="0.75" bottom="0.75" header="0.3" footer="0.3"/>
  <pageSetup paperSize="9" scale="86" orientation="landscape" r:id="rId1"/>
  <headerFooter differentFirst="1">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27</vt:i4>
      </vt:variant>
    </vt:vector>
  </HeadingPairs>
  <TitlesOfParts>
    <vt:vector size="39" baseType="lpstr">
      <vt:lpstr>Enero</vt:lpstr>
      <vt:lpstr>Febrero</vt:lpstr>
      <vt:lpstr>Marzo</vt:lpstr>
      <vt:lpstr>Abril</vt:lpstr>
      <vt:lpstr>Mayo</vt:lpstr>
      <vt:lpstr>Junio</vt:lpstr>
      <vt:lpstr>Julio</vt:lpstr>
      <vt:lpstr>Agosto</vt:lpstr>
      <vt:lpstr>Septiembre</vt:lpstr>
      <vt:lpstr>Octubre</vt:lpstr>
      <vt:lpstr>Noviembre</vt:lpstr>
      <vt:lpstr>Diciembre</vt:lpstr>
      <vt:lpstr>Enero!Área_de_impresión</vt:lpstr>
      <vt:lpstr>CalendarYear</vt:lpstr>
      <vt:lpstr>ColumnTitleRegion1..H12.1</vt:lpstr>
      <vt:lpstr>ColumnTitleRegion1..H12.10</vt:lpstr>
      <vt:lpstr>ColumnTitleRegion1..H12.11</vt:lpstr>
      <vt:lpstr>ColumnTitleRegion1..H12.12</vt:lpstr>
      <vt:lpstr>ColumnTitleRegion1..H12.2</vt:lpstr>
      <vt:lpstr>ColumnTitleRegion1..H12.3</vt:lpstr>
      <vt:lpstr>ColumnTitleRegion1..H12.4</vt:lpstr>
      <vt:lpstr>ColumnTitleRegion1..H12.5</vt:lpstr>
      <vt:lpstr>ColumnTitleRegion1..H12.6</vt:lpstr>
      <vt:lpstr>ColumnTitleRegion1..H12.7</vt:lpstr>
      <vt:lpstr>ColumnTitleRegion1..H12.8</vt:lpstr>
      <vt:lpstr>ColumnTitleRegion1..H12.9</vt:lpstr>
      <vt:lpstr>ColumnTitleRegion2..C14.1</vt:lpstr>
      <vt:lpstr>ColumnTitleRegion2..C14.10</vt:lpstr>
      <vt:lpstr>ColumnTitleRegion2..C14.11</vt:lpstr>
      <vt:lpstr>ColumnTitleRegion2..C14.12</vt:lpstr>
      <vt:lpstr>ColumnTitleRegion2..C14.2</vt:lpstr>
      <vt:lpstr>ColumnTitleRegion2..C14.3</vt:lpstr>
      <vt:lpstr>ColumnTitleRegion2..C14.4</vt:lpstr>
      <vt:lpstr>ColumnTitleRegion2..C14.5</vt:lpstr>
      <vt:lpstr>ColumnTitleRegion2..C14.6</vt:lpstr>
      <vt:lpstr>ColumnTitleRegion2..C14.7</vt:lpstr>
      <vt:lpstr>ColumnTitleRegion2..C14.8</vt:lpstr>
      <vt:lpstr>ColumnTitleRegion2..C14.9</vt:lpstr>
      <vt:lpstr>WeekStart</vt:lpstr>
    </vt:vector>
  </TitlesOfParts>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Alberto Perez Garcia</dc:creator>
  <cp:lastModifiedBy>Alberto Perez Garcia</cp:lastModifiedBy>
  <dcterms:created xsi:type="dcterms:W3CDTF">2016-12-02T06:02:37Z</dcterms:created>
  <dcterms:modified xsi:type="dcterms:W3CDTF">2021-09-13T07:00:38Z</dcterms:modified>
</cp:coreProperties>
</file>